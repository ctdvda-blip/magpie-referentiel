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rl\.claude\projects\MAGPIE\"/>
    </mc:Choice>
  </mc:AlternateContent>
  <xr:revisionPtr revIDLastSave="0" documentId="13_ncr:1_{1C80C932-C7BA-4C9E-8DBB-03164ADFAE29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Lisez-moi" sheetId="1" r:id="rId1"/>
    <sheet name="Référentiel" sheetId="2" r:id="rId2"/>
    <sheet name="Fondamentaux V1" sheetId="3" r:id="rId3"/>
    <sheet name="Contenu programmes" sheetId="4" r:id="rId4"/>
    <sheet name="Synthèse" sheetId="5" r:id="rId5"/>
    <sheet name="Listes" sheetId="6" r:id="rId6"/>
  </sheets>
  <definedNames>
    <definedName name="_xlnm._FilterDatabase" localSheetId="3" hidden="1">'Contenu programmes'!$A$3:$J$237</definedName>
    <definedName name="_xlnm._FilterDatabase" localSheetId="1" hidden="1">Référentiel!$A$3:$Y$119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5" l="1"/>
  <c r="C45" i="5"/>
  <c r="C44" i="5"/>
  <c r="C43" i="5"/>
  <c r="C42" i="5"/>
  <c r="C41" i="5"/>
  <c r="B37" i="5"/>
  <c r="B36" i="5"/>
  <c r="B35" i="5"/>
  <c r="B34" i="5"/>
  <c r="B30" i="5"/>
  <c r="B29" i="5"/>
  <c r="B28" i="5"/>
  <c r="B27" i="5"/>
  <c r="B26" i="5"/>
  <c r="B25" i="5"/>
  <c r="B21" i="5"/>
  <c r="B20" i="5"/>
  <c r="B19" i="5"/>
  <c r="B18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</calcChain>
</file>

<file path=xl/sharedStrings.xml><?xml version="1.0" encoding="utf-8"?>
<sst xmlns="http://schemas.openxmlformats.org/spreadsheetml/2006/main" count="3805" uniqueCount="655">
  <si>
    <t>Fondamentaux Grasshopper – Référentiel des notions Magpie</t>
  </si>
  <si>
    <t>Fondamentaux Grasshopper – Ind. A – 25/08/2026</t>
  </si>
  <si>
    <t>Projet</t>
  </si>
  <si>
    <t>MAGPIE – outil d'exercices Grasshopper autocorrigés (RhinoForYou)</t>
  </si>
  <si>
    <t>Objet du document</t>
  </si>
  <si>
    <t>Référentiel unique des notions Rhino / Grasshopper à couvrir par les exercices Magpie, obtenu en fusionnant le tableau des fondamentaux V1 et l'intégralité du contenu des programmes de formation du catalogue.</t>
  </si>
  <si>
    <t>Indice</t>
  </si>
  <si>
    <t>Ind. A</t>
  </si>
  <si>
    <t>Date</t>
  </si>
  <si>
    <t>25/08/2026</t>
  </si>
  <si>
    <t>Établi par</t>
  </si>
  <si>
    <t>Charles THIERRY DE VILLE D'AVRAY</t>
  </si>
  <si>
    <t>Document source remplacé</t>
  </si>
  <si>
    <t>Fondamentaux Grasshopper.xlsx (19 notions, 6 familles) – conservé sans modification</t>
  </si>
  <si>
    <t>Action de référence</t>
  </si>
  <si>
    <t>Compte rendu de session du 11/08/2026, §5.1 et §9.2 : « Comparer le tableau des fondamentaux aux programmes RhinoForYou débutant et perfectionnement ».</t>
  </si>
  <si>
    <t>SOURCES DÉPOUILLÉES</t>
  </si>
  <si>
    <t xml:space="preserve">   D3</t>
  </si>
  <si>
    <t>Grasshopper débutant 3 jours   —   Programme de formation Grasshopper débutant 3 jours.docx</t>
  </si>
  <si>
    <t xml:space="preserve">   P3</t>
  </si>
  <si>
    <t>Grasshopper perfectionnement 3 jours   —   Programme de formation Grasshopper perfectionnement 3 jours.docx</t>
  </si>
  <si>
    <t xml:space="preserve">   P6</t>
  </si>
  <si>
    <t>Grasshopper perfectionnement 6 jours   —   Programme de formation Grasshopper perfectionnement 6 jours.docx</t>
  </si>
  <si>
    <t xml:space="preserve">   P6b</t>
  </si>
  <si>
    <t>Grasshopper perfectionnement 6 jours (1)   —   Programme de formation Grasshopper perfectionnement 6 jours (1).docx</t>
  </si>
  <si>
    <t xml:space="preserve">   P6A</t>
  </si>
  <si>
    <t>Grasshopper perfectionnement 6 jours – Ind A – 27/02/2025   —   Programme de formation Grasshopper perfectionnement 6 jours - IndA - 27-02-2025.docx</t>
  </si>
  <si>
    <t xml:space="preserve">   RG8</t>
  </si>
  <si>
    <t>Rhino – Grasshopper 8 jours   —   Programme de formation Grasshopper 8 jours.docx</t>
  </si>
  <si>
    <t>CONTENU DU CLASSEUR</t>
  </si>
  <si>
    <t xml:space="preserve">   Référentiel</t>
  </si>
  <si>
    <t>Feuille principale. 116 lignes : 97 notions issues des programmes de formation + 19 fondamentaux Magpie V1, classés par domaine puis par catégorie.</t>
  </si>
  <si>
    <t xml:space="preserve">   Fondamentaux V1</t>
  </si>
  <si>
    <t>Reprise à l'identique du tableau d'origine (19 notions), pour traçabilité.</t>
  </si>
  <si>
    <t xml:space="preserve">   Contenu programmes</t>
  </si>
  <si>
    <t>Relevé exhaustif et verbatim des 234 items des 6 programmes, dans l'ordre des documents, rattachés à une ligne du référentiel.</t>
  </si>
  <si>
    <t xml:space="preserve">   Synthèse</t>
  </si>
  <si>
    <t>Comptages par domaine, niveau, mode de validation et programme ; analyse des écarts.</t>
  </si>
  <si>
    <t xml:space="preserve">   Listes</t>
  </si>
  <si>
    <t>Listes de valeurs utilisées par les menus déroulants du référentiel.</t>
  </si>
  <si>
    <t>MÉTHODE</t>
  </si>
  <si>
    <t xml:space="preserve">   1</t>
  </si>
  <si>
    <t>Extraction automatique de tous les paragraphes de liste des 6 programmes (234 occurrences).</t>
  </si>
  <si>
    <t xml:space="preserve">   2</t>
  </si>
  <si>
    <t>Dédoublonnage par texte normalisé : 97 items distincts.</t>
  </si>
  <si>
    <t xml:space="preserve">   3</t>
  </si>
  <si>
    <t>Classement de chaque item dans un domaine (10) et une catégorie, avec niveau et mode de validation proposés.</t>
  </si>
  <si>
    <t xml:space="preserve">   4</t>
  </si>
  <si>
    <t>Intégration des 19 fondamentaux V1 et qualification de leur couverture par les programmes.</t>
  </si>
  <si>
    <t xml:space="preserve">   5</t>
  </si>
  <si>
    <t>Construction de la matrice de couverture (une colonne par programme, valeur = jour · session).</t>
  </si>
  <si>
    <t>LÉGENDE — MODE DE VALIDATION</t>
  </si>
  <si>
    <t xml:space="preserve">   ExactOrderedList</t>
  </si>
  <si>
    <t>Ordre des éléments significatif.</t>
  </si>
  <si>
    <t xml:space="preserve">   SetEquality</t>
  </si>
  <si>
    <t>Ordre indifférent, ensemble attendu.</t>
  </si>
  <si>
    <t xml:space="preserve">   SingleValue</t>
  </si>
  <si>
    <t>Une valeur unique attendue.</t>
  </si>
  <si>
    <t xml:space="preserve">   NumericTolerance</t>
  </si>
  <si>
    <t>Valeur numérique avec marge d'erreur.</t>
  </si>
  <si>
    <t xml:space="preserve">   GeometryTolerance</t>
  </si>
  <si>
    <t>Comparaison géométrique avec tolérance.</t>
  </si>
  <si>
    <t xml:space="preserve">   Conceptuel (QCM)</t>
  </si>
  <si>
    <t>Notion non vérifiable par comparaison de résultat : question ciblée.</t>
  </si>
  <si>
    <t>LÉGENDE — ORIGINE</t>
  </si>
  <si>
    <t xml:space="preserve">   Programme de formation</t>
  </si>
  <si>
    <t>Item présent dans au moins un programme du catalogue.</t>
  </si>
  <si>
    <t xml:space="preserve">   Fondamentaux V1 – couverte</t>
  </si>
  <si>
    <t>Notion V1 explicitement traitée par un item de programme.</t>
  </si>
  <si>
    <t xml:space="preserve">   Fondamentaux V1 – partielle</t>
  </si>
  <si>
    <t>Notion V1 incluse dans un item de programme plus large.</t>
  </si>
  <si>
    <t xml:space="preserve">   Fondamentaux V1 – hors programmes</t>
  </si>
  <si>
    <t>Notion V1 absente des programmes : à arbitrer (ajout au programme ou exercice Magpie seul).</t>
  </si>
  <si>
    <t>POINTS À ARBITRER</t>
  </si>
  <si>
    <t xml:space="preserve">   Écart principal</t>
  </si>
  <si>
    <t>Sur les 19 fondamentaux Magpie V1, 4 seulement sont explicitement couverts par les programmes, 5 le sont partiellement et 10 en sont totalement absents (types et conversion implicite, data matching, valeurs nulles, outils de texte, portes logiques).</t>
  </si>
  <si>
    <t xml:space="preserve">   Doublon de source</t>
  </si>
  <si>
    <t>« perfectionnement 6 jours » et « perfectionnement 6 jours (1) » ont un contenu strictement identique ; l'indice A du 27/02/2025 y ajoute la rubrique « Utilisation des plugins » (11 items).</t>
  </si>
  <si>
    <t xml:space="preserve">   Niveaux</t>
  </si>
  <si>
    <t>Les niveaux et modes de validation proposés sont une première affectation, à valider par Jérémy CAROLUS avant production des exercices.</t>
  </si>
  <si>
    <t>JOURNAL DES INDICES</t>
  </si>
  <si>
    <t>Objet</t>
  </si>
  <si>
    <t>Auteur</t>
  </si>
  <si>
    <t>Création. Fusion du tableau des fondamentaux V1 et de l'intégralité du contenu des 6 programmes de formation ; classement par domaine et catégorie ; matrice de couverture et analyse des écarts.</t>
  </si>
  <si>
    <t>C. THIERRY DE VILLE D'AVRAY</t>
  </si>
  <si>
    <t>Référentiel des notions – Rhino / Grasshopper</t>
  </si>
  <si>
    <t>N°</t>
  </si>
  <si>
    <t>ID</t>
  </si>
  <si>
    <t>Domaine</t>
  </si>
  <si>
    <t>Catégorie</t>
  </si>
  <si>
    <t>Notion</t>
  </si>
  <si>
    <t>Libellé source / description</t>
  </si>
  <si>
    <t>Niveau</t>
  </si>
  <si>
    <t>Origine / couverture</t>
  </si>
  <si>
    <t>D3
3 j débutant</t>
  </si>
  <si>
    <t>P3
3 j perf.</t>
  </si>
  <si>
    <t>P6
6 j perf.</t>
  </si>
  <si>
    <t>P6b
6 j perf. (1)</t>
  </si>
  <si>
    <t>P6A
6 j perf. Ind A</t>
  </si>
  <si>
    <t>RG8
8 j Rhino+GH</t>
  </si>
  <si>
    <t>Nb prog.</t>
  </si>
  <si>
    <t>Ordre V1</t>
  </si>
  <si>
    <t>Réf. croisée</t>
  </si>
  <si>
    <t>ValidationMode suggéré</t>
  </si>
  <si>
    <t>Type d'exercice</t>
  </si>
  <si>
    <t>Priorité de production</t>
  </si>
  <si>
    <t>Nb exercices Magpie prévus</t>
  </si>
  <si>
    <t>À réaliser par</t>
  </si>
  <si>
    <t>Statut</t>
  </si>
  <si>
    <t>Lien</t>
  </si>
  <si>
    <t>Notes</t>
  </si>
  <si>
    <t>PRG-074</t>
  </si>
  <si>
    <t>0 – Socle Rhino (prérequis)</t>
  </si>
  <si>
    <t>Interface et navigation Rhino</t>
  </si>
  <si>
    <t>Interface Rhino</t>
  </si>
  <si>
    <t>Présentation de l'interface utilisateur (barres d’outils, fenêtres, options).</t>
  </si>
  <si>
    <t>Débutant</t>
  </si>
  <si>
    <t>Programme de formation</t>
  </si>
  <si>
    <t>J1</t>
  </si>
  <si>
    <t>Conceptuel (QCM)</t>
  </si>
  <si>
    <t>QCM / question ciblée</t>
  </si>
  <si>
    <t>P0</t>
  </si>
  <si>
    <t>PRG-075</t>
  </si>
  <si>
    <t>Manipulation des vues</t>
  </si>
  <si>
    <t>PRG-076</t>
  </si>
  <si>
    <t>Navigation</t>
  </si>
  <si>
    <t>Outils de navigation : zoom, panoramique, rotation.</t>
  </si>
  <si>
    <t>PRG-079</t>
  </si>
  <si>
    <t>Sélection d'objets</t>
  </si>
  <si>
    <t>Sélection et manipulation d’objets</t>
  </si>
  <si>
    <t>PRG-080</t>
  </si>
  <si>
    <t>Groupes et blocs</t>
  </si>
  <si>
    <t>PRG-081</t>
  </si>
  <si>
    <t>Visibilité des objets</t>
  </si>
  <si>
    <t>Verrouillage et masquage d’objets, Isoler, Montrer)</t>
  </si>
  <si>
    <t>PRG-077</t>
  </si>
  <si>
    <t>Modélisation Rhino</t>
  </si>
  <si>
    <t>Objets de base</t>
  </si>
  <si>
    <t>Création et manipulation d'objets de base (cubes, sphères, cylindres, etc.).</t>
  </si>
  <si>
    <t>GeometryTolerance</t>
  </si>
  <si>
    <t>Exercice Grasshopper</t>
  </si>
  <si>
    <t>PRG-078</t>
  </si>
  <si>
    <t>Transformations de base</t>
  </si>
  <si>
    <t>Transformation de base : déplacer, tourner, échelle, orienter</t>
  </si>
  <si>
    <t>PRG-082</t>
  </si>
  <si>
    <t>Courbes Rhino</t>
  </si>
  <si>
    <t>Création de courbes de différentes formes (lignes, cercles, ellipses, etc.).</t>
  </si>
  <si>
    <t>PRG-083</t>
  </si>
  <si>
    <t>Surfaces depuis courbes</t>
  </si>
  <si>
    <t>Utilisation de l’outil de courbes pour générer des surfaces.</t>
  </si>
  <si>
    <t>PRG-084</t>
  </si>
  <si>
    <t>Extrusion</t>
  </si>
  <si>
    <t>Extrusion et création de surfaces à partir de courbes.</t>
  </si>
  <si>
    <t>PRG-085</t>
  </si>
  <si>
    <t>Opérations booléennes Rhino</t>
  </si>
  <si>
    <t>Opérations booléennes (Union, intersection, et soustraction)</t>
  </si>
  <si>
    <t>PRG-094</t>
  </si>
  <si>
    <t>Réseaux et répétitions</t>
  </si>
  <si>
    <t>Réseaux et répétition de formes</t>
  </si>
  <si>
    <t>J2</t>
  </si>
  <si>
    <t>PRG-086</t>
  </si>
  <si>
    <t>Organisation du document Rhino</t>
  </si>
  <si>
    <t>Calques</t>
  </si>
  <si>
    <t>Gestion des calques.</t>
  </si>
  <si>
    <t>PRG-087</t>
  </si>
  <si>
    <t>Propriétés d'objet</t>
  </si>
  <si>
    <t>Couleurs, matériaux, et autres propriétés des objets.</t>
  </si>
  <si>
    <t>PRG-088</t>
  </si>
  <si>
    <t>Préparation à l'impression 3D</t>
  </si>
  <si>
    <t>Contraintes d'impression 3D</t>
  </si>
  <si>
    <t>Contraintes spécifiques de la modélisation pour l'impression 3D (épaisseur minimale, angle de surplomb, etc.).</t>
  </si>
  <si>
    <t>PRG-089</t>
  </si>
  <si>
    <t>Précision et unités</t>
  </si>
  <si>
    <t>Modélisation de précision et unités de mesure</t>
  </si>
  <si>
    <t>PRG-090</t>
  </si>
  <si>
    <t>Échelle et précision</t>
  </si>
  <si>
    <t>Utilisation des unités et paramétrage pour l’échelle et la précision.</t>
  </si>
  <si>
    <t>PRG-091</t>
  </si>
  <si>
    <t>Solides pour impression 3D</t>
  </si>
  <si>
    <t>Création de solides pour l'impression 3D</t>
  </si>
  <si>
    <t>SingleValue</t>
  </si>
  <si>
    <t>PRG-092</t>
  </si>
  <si>
    <t>Solides étanches</t>
  </si>
  <si>
    <t>Techniques de construction de solides "étanches" nécessaires pour l’impression 3D.</t>
  </si>
  <si>
    <t>PRG-093</t>
  </si>
  <si>
    <t>Contrôle des erreurs</t>
  </si>
  <si>
    <t>Contrôle des erreurs de construction (trous, surfaces ouvertes, etc.).</t>
  </si>
  <si>
    <t>PRG-095</t>
  </si>
  <si>
    <t>Outils d'analyse</t>
  </si>
  <si>
    <t>Utilisation des outils d’analyse pour détecter les erreurs.</t>
  </si>
  <si>
    <t>PRG-096</t>
  </si>
  <si>
    <t>Commandes de correction</t>
  </si>
  <si>
    <t>Utilisation des commandes de correction (remplissage de trous, jointure, etc.)</t>
  </si>
  <si>
    <t>PRG-097</t>
  </si>
  <si>
    <t>Export STL / OBJ</t>
  </si>
  <si>
    <t>Exportation des modèles 3D au format STL ou OBJ et paramètres d'exportation et optimisation des maillages pour réduire les erreurs d’impression.</t>
  </si>
  <si>
    <t>Démonstration formateur</t>
  </si>
  <si>
    <t>PRG-001</t>
  </si>
  <si>
    <t>1 – Environnement et principes Grasshopper</t>
  </si>
  <si>
    <t>Principes et interface Grasshopper</t>
  </si>
  <si>
    <t>Principes de la conception paramétrique</t>
  </si>
  <si>
    <t>Introduction à la conception paramétrique avec Grasshopper (Principes de la programmation visuelle)</t>
  </si>
  <si>
    <t>J3</t>
  </si>
  <si>
    <t>PRG-002</t>
  </si>
  <si>
    <t>Interopérabilité Rhino – Grasshopper</t>
  </si>
  <si>
    <t>Interopérabilité entre Grasshopper et Rhino (Bake et Geometry Pipeline)</t>
  </si>
  <si>
    <t>PRG-003</t>
  </si>
  <si>
    <t>Flux de données et câblage</t>
  </si>
  <si>
    <t>La logique de Grasshopper (Curseurs, données d’entrée, panel, données de sortie, branchement des câbles… )</t>
  </si>
  <si>
    <t>PRG-004</t>
  </si>
  <si>
    <t>Interface et canvas</t>
  </si>
  <si>
    <t>L’environnement et l’interface de Grasshopper (Barre d’outils et navigation dans le Canvas)</t>
  </si>
  <si>
    <t>PRG-063</t>
  </si>
  <si>
    <t>Écosystème de plugins</t>
  </si>
  <si>
    <t>Installation de plugins – Food4Rhino</t>
  </si>
  <si>
    <t>Installer un plugin à partir d’un fichier gha ou exe téléchargé sur food4rhino</t>
  </si>
  <si>
    <t>Intermédiaire</t>
  </si>
  <si>
    <t>J2·S3</t>
  </si>
  <si>
    <t>P1</t>
  </si>
  <si>
    <t>PRG-064</t>
  </si>
  <si>
    <t>Installation de plugins – Package Manager</t>
  </si>
  <si>
    <t>Installer un plugin depuis le package manager</t>
  </si>
  <si>
    <t>PRG-065</t>
  </si>
  <si>
    <t>Plugins d'ergonomie – principe</t>
  </si>
  <si>
    <t>Customisation de l’interface avec des plugins d’ergonomie ;</t>
  </si>
  <si>
    <t>PRG-066</t>
  </si>
  <si>
    <t>Plugin Bifocals</t>
  </si>
  <si>
    <t>Bifocals : Ajoute des étiquettes flottantes au-dessus des composants pour rendre l'interface plus lisible.</t>
  </si>
  <si>
    <t>PRG-067</t>
  </si>
  <si>
    <t>Plugin SnappingGecko</t>
  </si>
  <si>
    <t>SnappingGecko : pour aimanter les composants les uns aux autres horizontalement ou verticalement, facilite le rangement</t>
  </si>
  <si>
    <t>PRG-068</t>
  </si>
  <si>
    <t>Plugin Palette</t>
  </si>
  <si>
    <t>Palette : Changer les couleurs de l’interface Grasshopper</t>
  </si>
  <si>
    <t>PRG-069</t>
  </si>
  <si>
    <t>Plugin Moonlight</t>
  </si>
  <si>
    <t>Moonlight : Ajoute un mode sombre à l’interface</t>
  </si>
  <si>
    <t>PRG-070</t>
  </si>
  <si>
    <t>Plugin pOd</t>
  </si>
  <si>
    <t>pOd : pour afficher la vue Rhino sur le canvas Grasshopper</t>
  </si>
  <si>
    <t>PRG-071</t>
  </si>
  <si>
    <t>Plugin AutoGraph</t>
  </si>
  <si>
    <t>AutoGraph : pour ranger automatiquement la definition et “déméler les “fils” entre les composants</t>
  </si>
  <si>
    <t>PRG-072</t>
  </si>
  <si>
    <t>Plugins fonctionnels – principe</t>
  </si>
  <si>
    <t>Plugins essentiels couramment utilisés pour ajouter des fonctions à Grasshopper :</t>
  </si>
  <si>
    <t>PRG-073</t>
  </si>
  <si>
    <t>Plugins fonctionnels essentiels</t>
  </si>
  <si>
    <t>Metahopper, Human, Elefront, Weaverbird, Pufferfish, LunchBox</t>
  </si>
  <si>
    <t>FND-01</t>
  </si>
  <si>
    <t>2 – Données et logique</t>
  </si>
  <si>
    <t>Types et conversion implicite</t>
  </si>
  <si>
    <t>Types de base et conversion implicite</t>
  </si>
  <si>
    <t>Comportement d'un flux de données (Number, Integer, Text, Boolean, Point...) quand il est accepté implicitement par un composant attendant un autre type (ex : slider → integer).</t>
  </si>
  <si>
    <t>Fondamentaux V1 – hors programmes (à ajouter)</t>
  </si>
  <si>
    <t>Notion issue du tableau des fondamentaux Magpie V1. Aucun item de programme correspondant.</t>
  </si>
  <si>
    <t>FND-02</t>
  </si>
  <si>
    <t>Échec de conversion et valeurs invalides</t>
  </si>
  <si>
    <t>Ce qui se produit quand une conversion implicite échoue (texte non numérique vers un input numérique, etc.) : message d'erreur, valeur nulle, composant en échec.</t>
  </si>
  <si>
    <t>FND-03</t>
  </si>
  <si>
    <t>Listes</t>
  </si>
  <si>
    <t>Item, liste et indexation (0-based)</t>
  </si>
  <si>
    <t>Différence entre un item unique et une liste, lecture d'un élément à un index donné (List Item), indexation négative.</t>
  </si>
  <si>
    <t>Fondamentaux V1 – couverte par les programmes</t>
  </si>
  <si>
    <t>PRG-017</t>
  </si>
  <si>
    <t>Notion issue du tableau des fondamentaux Magpie V1. Rapprochement programme : PRG-017</t>
  </si>
  <si>
    <t>FND-04</t>
  </si>
  <si>
    <t>Longueur et génération de séries</t>
  </si>
  <si>
    <t>Comptage d'une liste (List Length) et génération de séquences numériques (Series, Range).</t>
  </si>
  <si>
    <t>Fondamentaux V1 – couverture partielle</t>
  </si>
  <si>
    <t>ExactOrderedList</t>
  </si>
  <si>
    <t>FND-07</t>
  </si>
  <si>
    <t>Tri (Sort List, Sort Text)</t>
  </si>
  <si>
    <t>Réordonnancement d'une liste selon une clé de tri, avec ou sans liste secondaire liée.</t>
  </si>
  <si>
    <t>FND-08</t>
  </si>
  <si>
    <t>Filtrage et suppression (Cull Pattern, Dispatch)</t>
  </si>
  <si>
    <t>Élimination ou séparation d'éléments d'une liste selon un motif booléen répétitif.</t>
  </si>
  <si>
    <t>SetEquality</t>
  </si>
  <si>
    <t>FND-09</t>
  </si>
  <si>
    <t>Décalage et permutation (Shift List, Reverse List)</t>
  </si>
  <si>
    <t>Rotation, décalage circulaire et inversion de l'ordre des éléments d'une liste.</t>
  </si>
  <si>
    <t>Listes – traitement et tri</t>
  </si>
  <si>
    <t>Outils de traitement des Listes, fonctions de tri par ordre croissant et décroissant</t>
  </si>
  <si>
    <t>J1·S1</t>
  </si>
  <si>
    <t>J5</t>
  </si>
  <si>
    <t>FND-11</t>
  </si>
  <si>
    <t>Arbres de données</t>
  </si>
  <si>
    <t>Branche et chemin (path)</t>
  </si>
  <si>
    <t>Structure d'un arbre de données : notion de branche, de chemin ({0;0;1}) et de correspondance avec une liste imbriquée.</t>
  </si>
  <si>
    <t>PRG-018</t>
  </si>
  <si>
    <t>Notion issue du tableau des fondamentaux Magpie V1. Rapprochement programme : PRG-018</t>
  </si>
  <si>
    <t>FND-12</t>
  </si>
  <si>
    <t>Graft et Flatten</t>
  </si>
  <si>
    <t>Transformation d'une structure de données : éclatement d'une liste en branches individuelles (Graft) et aplatissement d'un arbre en une seule liste (Flatten).</t>
  </si>
  <si>
    <t>PRG-024</t>
  </si>
  <si>
    <t>Notion issue du tableau des fondamentaux Magpie V1. Rapprochement programme : PRG-024</t>
  </si>
  <si>
    <t>FND-13</t>
  </si>
  <si>
    <t>Simplify et Trim Tree</t>
  </si>
  <si>
    <t>Nettoyage de la structure d'un arbre : suppression des niveaux de branche redondants.</t>
  </si>
  <si>
    <t>Arbres – construction et lecture</t>
  </si>
  <si>
    <t>Création et lecture d’un arbre de données et numérotation des branches</t>
  </si>
  <si>
    <t>Arbres – Graft et Flatten</t>
  </si>
  <si>
    <t>Approfondir les listes et arbres de données (créer un arbre de données, lire dans un arbre de données, Graft et Flatten)</t>
  </si>
  <si>
    <t>FND-05</t>
  </si>
  <si>
    <t>Comportements implicites</t>
  </si>
  <si>
    <t>Data Matching par défaut (shortest list)</t>
  </si>
  <si>
    <t>Comportement automatique de Grasshopper quand deux listes de tailles différentes entrent dans un même composant : troncature implicite sur la plus courte.</t>
  </si>
  <si>
    <t>FND-06</t>
  </si>
  <si>
    <t>Data Matching explicite (Longest List, Cross Reference)</t>
  </si>
  <si>
    <t>Bascule volontaire entre les modes de correspondance (clic droit sur le composant) et conséquences sur le résultat produit.</t>
  </si>
  <si>
    <t>FND-10</t>
  </si>
  <si>
    <t>Valeurs nulles / vides dans une liste</t>
  </si>
  <si>
    <t>Propagation silencieuse des valeurs null à travers les composants et impact sur les calculs en aval.</t>
  </si>
  <si>
    <t>FND-14</t>
  </si>
  <si>
    <t>Recalcul automatique et ordre d'évaluation</t>
  </si>
  <si>
    <t>Logique de mise à jour du canvas : recalcul en cascade à la modification d'une entrée, notion de dépendance entre composants (conceptuel, à valider via question ciblée plutôt que comparaison de résultat).</t>
  </si>
  <si>
    <t>PRG-027</t>
  </si>
  <si>
    <t>SingleValue (conceptuel)</t>
  </si>
  <si>
    <t>Notion issue du tableau des fondamentaux Magpie V1. Rapprochement programme : PRG-027</t>
  </si>
  <si>
    <t>FND-15</t>
  </si>
  <si>
    <t>Outils de texte</t>
  </si>
  <si>
    <t>Concaténation et construction de chaînes</t>
  </si>
  <si>
    <t>Assemblage de plusieurs éléments en une seule chaîne de caractères (Concatenate, Text Join) avec ou sans séparateur.</t>
  </si>
  <si>
    <t>FND-16</t>
  </si>
  <si>
    <t>Manipulation de texte</t>
  </si>
  <si>
    <t>Opérations courantes sur une chaîne : découpe (Split), remplacement (Replace), nettoyage (Trim), casse (Upper/Lower).</t>
  </si>
  <si>
    <t>FND-17</t>
  </si>
  <si>
    <t>Portes logiques</t>
  </si>
  <si>
    <t>Booléens et comparaisons</t>
  </si>
  <si>
    <t>Production d'une valeur booléenne à partir d'une comparaison (Equality, Larger Than, Smaller Than).</t>
  </si>
  <si>
    <t>FND-18</t>
  </si>
  <si>
    <t>Opérateurs logiques combinés</t>
  </si>
  <si>
    <t>Combinaison de plusieurs conditions (And, Or, Not, Logic Gate) pour produire un résultat booléen unique.</t>
  </si>
  <si>
    <t>FND-19</t>
  </si>
  <si>
    <t>Structure conditionnelle</t>
  </si>
  <si>
    <t>Utilisation d'une condition pour orienter un résultat ou filtrer une liste (If, Stream Filter, Dispatch piloté par condition).</t>
  </si>
  <si>
    <t>PRG-005</t>
  </si>
  <si>
    <t>3 – Géométrie paramétrique</t>
  </si>
  <si>
    <t>Géométrie vectorielle et filaire</t>
  </si>
  <si>
    <t>Géométrie vectorielle</t>
  </si>
  <si>
    <t>Création d’éléments de construction vectoriels (Points, vecteurs, plans)</t>
  </si>
  <si>
    <t>PRG-006</t>
  </si>
  <si>
    <t>Géométrie filaire</t>
  </si>
  <si>
    <t>Création de géométrie filaire (Cercles, carrés, Polygones, Courbes…)</t>
  </si>
  <si>
    <t>PRG-007</t>
  </si>
  <si>
    <t>Division de courbes</t>
  </si>
  <si>
    <t>Les outils de division de courbes</t>
  </si>
  <si>
    <t>PRG-008</t>
  </si>
  <si>
    <t>Plan paramétrique</t>
  </si>
  <si>
    <t>Dessin paramétrique 2D</t>
  </si>
  <si>
    <t>Exercice d’application sur un dessin paramétrique 2D</t>
  </si>
  <si>
    <t>Exercice de synthèse</t>
  </si>
  <si>
    <t>PRG-009</t>
  </si>
  <si>
    <t>Cotation automatique</t>
  </si>
  <si>
    <t>Génération des cotations automatique</t>
  </si>
  <si>
    <t>PRG-010</t>
  </si>
  <si>
    <t>Transformations et réseaux</t>
  </si>
  <si>
    <t>Transformations</t>
  </si>
  <si>
    <t>Les outils de transformation (matrice linéaire, polaire, rotation , symétrie…)</t>
  </si>
  <si>
    <t>J4</t>
  </si>
  <si>
    <t>PRG-011</t>
  </si>
  <si>
    <t>Matrices rectangulaires et polaires</t>
  </si>
  <si>
    <t>Les matrices rectangulaires et polaires</t>
  </si>
  <si>
    <t>PRG-012</t>
  </si>
  <si>
    <t>Surfaces et solides</t>
  </si>
  <si>
    <t>Surfaces</t>
  </si>
  <si>
    <t>Création de géométrie surfacique (balayage, surface par section…)</t>
  </si>
  <si>
    <t>PRG-013</t>
  </si>
  <si>
    <t>Solides fermés</t>
  </si>
  <si>
    <t>Comment boucher les trous d’une polysurface pour former un solide fermé</t>
  </si>
  <si>
    <t>PRG-014</t>
  </si>
  <si>
    <t>Intersections entre solides</t>
  </si>
  <si>
    <t>Recherche d’intersection entre différentes géométries</t>
  </si>
  <si>
    <t>PRG-015</t>
  </si>
  <si>
    <t>Détection de collisions</t>
  </si>
  <si>
    <t>PRG-016</t>
  </si>
  <si>
    <t>Synthèse géométrie</t>
  </si>
  <si>
    <t>Modèle 3D paramétrique</t>
  </si>
  <si>
    <t>Exercice d’application sur un modèle 3D paramétrique</t>
  </si>
  <si>
    <t>PRG-049</t>
  </si>
  <si>
    <t>Maillages et SubD</t>
  </si>
  <si>
    <t>Maillages – génération</t>
  </si>
  <si>
    <t>Générer des Maillages avec Weaverbird</t>
  </si>
  <si>
    <t>Perfectionnement</t>
  </si>
  <si>
    <t>J5·S9</t>
  </si>
  <si>
    <t>P2</t>
  </si>
  <si>
    <t>PRG-050</t>
  </si>
  <si>
    <t>Maillages – lissage</t>
  </si>
  <si>
    <t>Adoucir un maillage</t>
  </si>
  <si>
    <t>PRG-051</t>
  </si>
  <si>
    <t>Maillages – réparation</t>
  </si>
  <si>
    <t>Réparer un maillages avec Mesh+</t>
  </si>
  <si>
    <t>PRG-052</t>
  </si>
  <si>
    <t>SubD – génération</t>
  </si>
  <si>
    <t>Générer une surface SubD à partir d’un maillage</t>
  </si>
  <si>
    <t>PRG-053</t>
  </si>
  <si>
    <t>SubD – déformation</t>
  </si>
  <si>
    <t>Déformer une surface SubD à partir d’un squelette</t>
  </si>
  <si>
    <t>PRG-019</t>
  </si>
  <si>
    <t>4 – Mesures, quantitatifs et export</t>
  </si>
  <si>
    <t>Mesures géométriques</t>
  </si>
  <si>
    <t>Mesures dimensionnelles</t>
  </si>
  <si>
    <t>Outils de mesure (Longueurs, Aires, Volumes)</t>
  </si>
  <si>
    <t>NumericTolerance</t>
  </si>
  <si>
    <t>PRG-020</t>
  </si>
  <si>
    <t>Rayon et courbure</t>
  </si>
  <si>
    <t>Mesure de rayon et courbure</t>
  </si>
  <si>
    <t>PRG-021</t>
  </si>
  <si>
    <t>Centre de gravité</t>
  </si>
  <si>
    <t>Recherche d’un centre de gravité</t>
  </si>
  <si>
    <t>PRG-022</t>
  </si>
  <si>
    <t>Quantitatifs et chiffrage</t>
  </si>
  <si>
    <t>Métrés</t>
  </si>
  <si>
    <t>Exercice d’application sur un calcul de métrés</t>
  </si>
  <si>
    <t>J1·S2</t>
  </si>
  <si>
    <t>PRG-023</t>
  </si>
  <si>
    <t>Chiffrage et devis</t>
  </si>
  <si>
    <t>Exercice d’application sur un devis généré à partir d’un modèle 3D grasshopper</t>
  </si>
  <si>
    <t>PRG-036</t>
  </si>
  <si>
    <t>Comptage de quantités</t>
  </si>
  <si>
    <t>Comptage automatique des quantités de blocs</t>
  </si>
  <si>
    <t>PRG-037</t>
  </si>
  <si>
    <t>Export de données</t>
  </si>
  <si>
    <t>Préparation de données tabulaires</t>
  </si>
  <si>
    <t>Préparation des données des colonnes dans Grasshopper</t>
  </si>
  <si>
    <t>PRG-038</t>
  </si>
  <si>
    <t>Export Excel</t>
  </si>
  <si>
    <t>Export d’un tableau de données vers EXCEL dans une feuille de calcul</t>
  </si>
  <si>
    <t>PRG-039</t>
  </si>
  <si>
    <t>Export CSV / nomenclature</t>
  </si>
  <si>
    <t>Export d’une nomenclature au format CSV à partir de Grasshopper</t>
  </si>
  <si>
    <t>PRG-025</t>
  </si>
  <si>
    <t>5 – Méthode, performance et évènements</t>
  </si>
  <si>
    <t>Organisation et performance</t>
  </si>
  <si>
    <t>Organisation et lisibilité</t>
  </si>
  <si>
    <t>Apprendre une méthode d’organisation et de rangement du code pour optimiser la vitesse de développement (Clusters, Nommage des paramètres d’entrée et de sortie, Groupes, titres)</t>
  </si>
  <si>
    <t>J6</t>
  </si>
  <si>
    <t>PRG-026</t>
  </si>
  <si>
    <t>Performance d'exécution</t>
  </si>
  <si>
    <t>Optimiser la vitesse d’exécution d’une définition Grasshopper ( Multiprocessing, analyse des temps d’exécution des composants les plus gourmands)</t>
  </si>
  <si>
    <t>Chronologie et évènements</t>
  </si>
  <si>
    <t>Ordre d'exécution des tâches</t>
  </si>
  <si>
    <t>Appréhender la notion d’ordre d’exécution des tâches (Déclencheurs, Timer…)</t>
  </si>
  <si>
    <t>J2·S4</t>
  </si>
  <si>
    <t>PRG-040</t>
  </si>
  <si>
    <t>Évènement clavier</t>
  </si>
  <si>
    <t>Détecter l’appui de l’utilisateur sur une touche du clavier</t>
  </si>
  <si>
    <t>PRG-041</t>
  </si>
  <si>
    <t>Évènement souris</t>
  </si>
  <si>
    <t>Détecter le mouvement de la souris</t>
  </si>
  <si>
    <t>PRG-028</t>
  </si>
  <si>
    <t>6 – Algorithmique avancée</t>
  </si>
  <si>
    <t>Boucles et itération</t>
  </si>
  <si>
    <t>Utilisation des boucles sur groupe de composants avec les plugins Hoopsnake et Anemone</t>
  </si>
  <si>
    <t>J3·S5</t>
  </si>
  <si>
    <t>J7</t>
  </si>
  <si>
    <t>PRG-029</t>
  </si>
  <si>
    <t>Simulation physique</t>
  </si>
  <si>
    <t>Utiliser un moteur physique pour modéliser un phénomène dynamique et trouver un équilibre entre plusieurs contraintes avec Kangaroo</t>
  </si>
  <si>
    <t>PRG-030</t>
  </si>
  <si>
    <t>Design génératif</t>
  </si>
  <si>
    <t>Utiliser un algorithme génétique pour optimiser des variables d’entrée en fonction d’une valeur cible à maximiser ou minimiser avec Galapagos</t>
  </si>
  <si>
    <t>J3·S6</t>
  </si>
  <si>
    <t>PRG-033</t>
  </si>
  <si>
    <t>7 – Développement, scripting et API</t>
  </si>
  <si>
    <t>Compilation et IDE</t>
  </si>
  <si>
    <t>Composant compilé .gha</t>
  </si>
  <si>
    <t>Comment réaliser un composant *.gha pour Grasshopper</t>
  </si>
  <si>
    <t>Expert</t>
  </si>
  <si>
    <t>J8</t>
  </si>
  <si>
    <t>PRG-034</t>
  </si>
  <si>
    <t>Compilation en plugin .rhp</t>
  </si>
  <si>
    <t>Comment compiler une définition grasshopper pour en faire un plugin *.rhp de Rhino en utilisant le compilateur de scripts</t>
  </si>
  <si>
    <t>PRG-047</t>
  </si>
  <si>
    <t>IDE Visual Studio – templates</t>
  </si>
  <si>
    <t>Découvrir les templates disponibles sous Visual Studio</t>
  </si>
  <si>
    <t>J4·S8</t>
  </si>
  <si>
    <t>PRG-048</t>
  </si>
  <si>
    <t>Plugin Rhino en C#.NET</t>
  </si>
  <si>
    <t>Ecrire un composant plugin de Rhino en C#.NET sous Visual Studio</t>
  </si>
  <si>
    <t>PRG-035</t>
  </si>
  <si>
    <t>Scripting dans Grasshopper</t>
  </si>
  <si>
    <t>Ecrire un composant VB / C# / Python personnalisé dans grasshopper</t>
  </si>
  <si>
    <t>PRG-045</t>
  </si>
  <si>
    <t>Composant Python</t>
  </si>
  <si>
    <t>Ecrire un composant Python personnalisé dans grasshopper</t>
  </si>
  <si>
    <t>PRG-046</t>
  </si>
  <si>
    <t>Composant VB / C#</t>
  </si>
  <si>
    <t>Ecrire un composant VB / C# personnalisé dans grasshopper</t>
  </si>
  <si>
    <t>PRG-042</t>
  </si>
  <si>
    <t>API et librairies</t>
  </si>
  <si>
    <t>API RhinoCommon</t>
  </si>
  <si>
    <t>Présentation des différentes API Rhinocommon dans l’environnement Rhino dans les différents langages de programmation (Python, C#.NET, VB.NET, etc…)</t>
  </si>
  <si>
    <t>J4·S7</t>
  </si>
  <si>
    <t>PRG-043</t>
  </si>
  <si>
    <t>Librairies opensource Rhino</t>
  </si>
  <si>
    <t>Présentation des librairies opensource de Rhino : openNURBS, Rhino3dm etc…</t>
  </si>
  <si>
    <t>PRG-044</t>
  </si>
  <si>
    <t>API Grasshopper</t>
  </si>
  <si>
    <t>PRG-031</t>
  </si>
  <si>
    <t>8 – Interfaces, web et interopérabilité</t>
  </si>
  <si>
    <t>Interfaces utilisateur</t>
  </si>
  <si>
    <t>Interfaçage d'une définition</t>
  </si>
  <si>
    <t>Interfacer une définition Grasshopper (Remote control panel, Interface WPF/C# dans Rhino…)</t>
  </si>
  <si>
    <t>PRG-032</t>
  </si>
  <si>
    <t>Intégration dans Rhino</t>
  </si>
  <si>
    <t>Lier une définition Grasshopper à un bouton de barre d’outil de Rhino</t>
  </si>
  <si>
    <t>PRG-054</t>
  </si>
  <si>
    <t>Publication web</t>
  </si>
  <si>
    <t>Publication web ShapeDiver</t>
  </si>
  <si>
    <t>Mise en ligne d’une définition Grasshopper avec Shapediver</t>
  </si>
  <si>
    <t>J5·S10</t>
  </si>
  <si>
    <t>PRG-055</t>
  </si>
  <si>
    <t>Téléchargement de modèles 3D</t>
  </si>
  <si>
    <t>Ajout d’un bouton pour télécharger des modèles 3D</t>
  </si>
  <si>
    <t>PRG-056</t>
  </si>
  <si>
    <t>Génération de plans PDF</t>
  </si>
  <si>
    <t>Ajout d’un bouton pour télécharger des plans PDF</t>
  </si>
  <si>
    <t>PRG-057</t>
  </si>
  <si>
    <t>Interopérabilité</t>
  </si>
  <si>
    <t>Rhino.Inside</t>
  </si>
  <si>
    <t>Exemple d’interopérabilité avec un autre logiciel avec Rhino.Inside</t>
  </si>
  <si>
    <t>J6·S11</t>
  </si>
  <si>
    <t>PRG-058</t>
  </si>
  <si>
    <t>Rhino.Compute</t>
  </si>
  <si>
    <t>Utilisation de Rhino.Compute pour appeler des fonctions Rhino ou Grasshopper depuis un site web</t>
  </si>
  <si>
    <t>PRG-059</t>
  </si>
  <si>
    <t>9 – Aide à la fabrication</t>
  </si>
  <si>
    <t>Imbrication</t>
  </si>
  <si>
    <t>Imbrication 2D (OpenNest)</t>
  </si>
  <si>
    <t>Exemple d’usage de Grasshopper pour l’aide à la fabrication avec l’utilisation d’OpenNest et de ses composants qui permettent l’imbrication de pièces dans des plaques de matière</t>
  </si>
  <si>
    <t>J6·S12</t>
  </si>
  <si>
    <t>PRG-060</t>
  </si>
  <si>
    <t>Imbrication 3D</t>
  </si>
  <si>
    <t>Imbrication 3D pour la mise en carton</t>
  </si>
  <si>
    <t>PRG-061</t>
  </si>
  <si>
    <t>Déroulé et mise à plat</t>
  </si>
  <si>
    <t>Déroulé de surface</t>
  </si>
  <si>
    <t>Utilisation des fonctions de déroulé de surface</t>
  </si>
  <si>
    <t>PRG-062</t>
  </si>
  <si>
    <t>Déroulé de tôle</t>
  </si>
  <si>
    <t>Déroulé de tôles en prenant en compte l’épaisseur de la pièce et le retrait</t>
  </si>
  <si>
    <t>Tableau des fondamentaux Magpie V1 – reprise à l'identique (source J. CAROLUS)</t>
  </si>
  <si>
    <t>Ordre de dépendance</t>
  </si>
  <si>
    <t>Description</t>
  </si>
  <si>
    <t>A réaliser par</t>
  </si>
  <si>
    <t>Types</t>
  </si>
  <si>
    <t>Arbres</t>
  </si>
  <si>
    <t>Légende ValidationMode :</t>
  </si>
  <si>
    <t>ExactOrderedList — ordre des éléments compte</t>
  </si>
  <si>
    <t>SetEquality — ordre indifférent, ensemble attendu</t>
  </si>
  <si>
    <t>SingleValue — une valeur unique attendue</t>
  </si>
  <si>
    <t>NumericTolerance — valeur numérique avec marge d'erreur</t>
  </si>
  <si>
    <t>GeometryTolerance — comparaison géométrique avec tolérance</t>
  </si>
  <si>
    <t>Relevé exhaustif du contenu des programmes de formation (verbatim)</t>
  </si>
  <si>
    <t>Code</t>
  </si>
  <si>
    <t>Programme</t>
  </si>
  <si>
    <t>Jour</t>
  </si>
  <si>
    <t>Session</t>
  </si>
  <si>
    <t>Rubrique</t>
  </si>
  <si>
    <t>Item (verbatim)</t>
  </si>
  <si>
    <t>ID référentiel</t>
  </si>
  <si>
    <t>D3</t>
  </si>
  <si>
    <t>Grasshopper débutant 3 jours</t>
  </si>
  <si>
    <t>Jour 1</t>
  </si>
  <si>
    <t>Principes de base de Grasshopper</t>
  </si>
  <si>
    <t>Géométrie vectorielle et filaire sous Grasshopper</t>
  </si>
  <si>
    <t>Jour 2</t>
  </si>
  <si>
    <t>Déplacement et de copie d’objets sous Grasshopper</t>
  </si>
  <si>
    <t>Géométries surfaciques et solides sous Grasshopper</t>
  </si>
  <si>
    <t>Opération entre solides</t>
  </si>
  <si>
    <t>Jour 3</t>
  </si>
  <si>
    <t>Gestion des données</t>
  </si>
  <si>
    <t>Mesures</t>
  </si>
  <si>
    <t>Métrés et chiffrage</t>
  </si>
  <si>
    <t>P3</t>
  </si>
  <si>
    <t>Grasshopper perfectionnement 3 jours</t>
  </si>
  <si>
    <t>Optimisation et méthodologie</t>
  </si>
  <si>
    <t>Chronologie des tâches</t>
  </si>
  <si>
    <t>Boucles</t>
  </si>
  <si>
    <t>Simulation</t>
  </si>
  <si>
    <t>Interface utilisateur</t>
  </si>
  <si>
    <t>Api et plugins avec compilation</t>
  </si>
  <si>
    <t>Codage / programmation</t>
  </si>
  <si>
    <t>P6</t>
  </si>
  <si>
    <t>Grasshopper perfectionnement 6 jours</t>
  </si>
  <si>
    <t>Session N°1</t>
  </si>
  <si>
    <t>Gestion des données : utilisation fine des listes et des arbres de données</t>
  </si>
  <si>
    <t>Session N°2</t>
  </si>
  <si>
    <t>Export EXCEL</t>
  </si>
  <si>
    <t>Session N°3</t>
  </si>
  <si>
    <t>Session N°4</t>
  </si>
  <si>
    <t>Détection d’évènement</t>
  </si>
  <si>
    <t>Session N°5</t>
  </si>
  <si>
    <t>Session N°6</t>
  </si>
  <si>
    <t>Jour 4</t>
  </si>
  <si>
    <t>Session N°7</t>
  </si>
  <si>
    <t>API Rhinocommon</t>
  </si>
  <si>
    <t>Session N°8</t>
  </si>
  <si>
    <t>Codage / Programmation</t>
  </si>
  <si>
    <t>Exemple d’IDE : Visual Studio</t>
  </si>
  <si>
    <t>Jour 5</t>
  </si>
  <si>
    <t>Session N°9</t>
  </si>
  <si>
    <t>Fonctions avancées sur les maillages sous Grasshopper</t>
  </si>
  <si>
    <t>Fonctions avancées sur les SubD sous Grasshopper</t>
  </si>
  <si>
    <t>Session N°10</t>
  </si>
  <si>
    <t>Interface WEB</t>
  </si>
  <si>
    <t>Jour 6</t>
  </si>
  <si>
    <t>Session N°11</t>
  </si>
  <si>
    <t>Interopérabilité avec Rhino.Inside</t>
  </si>
  <si>
    <t>Usage de fonctions Rhino ou Grasshopper avec Rhino.Compute</t>
  </si>
  <si>
    <t>Session N°12</t>
  </si>
  <si>
    <t>Fonction d’imbrication pour la fabrication</t>
  </si>
  <si>
    <t>Déroulé automatique de pièce</t>
  </si>
  <si>
    <t>P6b</t>
  </si>
  <si>
    <t>Grasshopper perfectionnement 6 jours (1)</t>
  </si>
  <si>
    <t>P6A</t>
  </si>
  <si>
    <t>Grasshopper perfectionnement 6 jours – Ind A – 27/02/2025</t>
  </si>
  <si>
    <t>Utilisation des plugins</t>
  </si>
  <si>
    <t>RG8</t>
  </si>
  <si>
    <t>Rhino – Grasshopper 8 jours</t>
  </si>
  <si>
    <t>Les Fondamentaux de Rhino</t>
  </si>
  <si>
    <t>Fonctionnalités de Rhino utiles pour l’Impression 3D</t>
  </si>
  <si>
    <t>Jour 7</t>
  </si>
  <si>
    <t>Jour 8</t>
  </si>
  <si>
    <t>API et plugins avec compilation</t>
  </si>
  <si>
    <t>Synthèse et analyse des écarts</t>
  </si>
  <si>
    <t>Répartition par domaine</t>
  </si>
  <si>
    <t>Notions</t>
  </si>
  <si>
    <t>dont issues des programmes</t>
  </si>
  <si>
    <t>dont priorité P0</t>
  </si>
  <si>
    <t>Répartition par niveau</t>
  </si>
  <si>
    <t>Répartition par mode de validation</t>
  </si>
  <si>
    <t>ValidationMode</t>
  </si>
  <si>
    <t>Répartition par type d'exercice</t>
  </si>
  <si>
    <t>Couverture par programme</t>
  </si>
  <si>
    <t>Items relevés (verbatim)</t>
  </si>
  <si>
    <t>Notions distinctes</t>
  </si>
  <si>
    <t>Écarts – fondamentaux Magpie V1 face aux programmes</t>
  </si>
  <si>
    <t>Situation</t>
  </si>
  <si>
    <t>Nombre</t>
  </si>
  <si>
    <t>Notion V1 couverte par un item de programme</t>
  </si>
  <si>
    <t>Notion V1 couverte partiellement</t>
  </si>
  <si>
    <t>Notion V1 absente des programmes</t>
  </si>
  <si>
    <t>Détail des notions V1 absentes des programmes de formation</t>
  </si>
  <si>
    <t>Listes de valeurs</t>
  </si>
  <si>
    <t>Domaines</t>
  </si>
  <si>
    <t>Niveaux</t>
  </si>
  <si>
    <t>Types d'exercice</t>
  </si>
  <si>
    <t>Priorités</t>
  </si>
  <si>
    <t>Statuts</t>
  </si>
  <si>
    <t>Pas commencé</t>
  </si>
  <si>
    <t>En cours</t>
  </si>
  <si>
    <t>Terminé</t>
  </si>
  <si>
    <t>Bloqué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</si>
</sst>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2A37"/>
      <name val="Calibri"/>
    </font>
    <font>
      <b/>
      <sz val="10"/>
      <color rgb="FF2E5C8A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B00020"/>
      <name val="Calibri"/>
    </font>
    <font>
      <b/>
      <sz val="11"/>
      <color rgb="FF2E5C8A"/>
      <name val="Calibri"/>
    </font>
    <font>
      <b/>
      <sz val="11"/>
      <color rgb="FFB0002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E8E8E8"/>
      </patternFill>
    </fill>
    <fill>
      <patternFill patternType="solid">
        <fgColor rgb="FFDDE8F5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D0E0E3"/>
      </patternFill>
    </fill>
    <fill>
      <patternFill patternType="solid">
        <fgColor rgb="FFF4CCCC"/>
      </patternFill>
    </fill>
    <fill>
      <patternFill patternType="solid">
        <fgColor rgb="FFE6E6C8"/>
      </patternFill>
    </fill>
    <fill>
      <patternFill patternType="solid">
        <fgColor rgb="FFB00020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7" fillId="0" borderId="0" xfId="0" applyFont="1"/>
    <xf numFmtId="0" fontId="3" fillId="1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showGridLines="0" workbookViewId="0">
      <selection activeCell="B30" sqref="B30"/>
    </sheetView>
  </sheetViews>
  <sheetFormatPr baseColWidth="10" defaultColWidth="8.88671875" defaultRowHeight="14.4" x14ac:dyDescent="0.3"/>
  <cols>
    <col min="1" max="1" width="34" customWidth="1"/>
    <col min="2" max="2" width="95" customWidth="1"/>
    <col min="3" max="3" width="18" customWidth="1"/>
    <col min="4" max="4" width="40" customWidth="1"/>
  </cols>
  <sheetData>
    <row r="1" spans="1:4" ht="24" customHeight="1" x14ac:dyDescent="0.4">
      <c r="A1" s="1" t="s">
        <v>0</v>
      </c>
      <c r="D1" s="2" t="s">
        <v>1</v>
      </c>
    </row>
    <row r="2" spans="1:4" x14ac:dyDescent="0.3">
      <c r="A2" s="3"/>
      <c r="B2" s="3"/>
      <c r="C2" s="3"/>
      <c r="D2" s="3"/>
    </row>
    <row r="3" spans="1:4" x14ac:dyDescent="0.3">
      <c r="A3" s="3" t="s">
        <v>2</v>
      </c>
      <c r="B3" s="3" t="s">
        <v>3</v>
      </c>
      <c r="C3" s="3"/>
      <c r="D3" s="3"/>
    </row>
    <row r="4" spans="1:4" ht="27.6" x14ac:dyDescent="0.3">
      <c r="A4" s="3" t="s">
        <v>4</v>
      </c>
      <c r="B4" s="3" t="s">
        <v>5</v>
      </c>
      <c r="C4" s="3"/>
      <c r="D4" s="3"/>
    </row>
    <row r="5" spans="1:4" x14ac:dyDescent="0.3">
      <c r="A5" s="3" t="s">
        <v>6</v>
      </c>
      <c r="B5" s="3" t="s">
        <v>7</v>
      </c>
      <c r="C5" s="3"/>
      <c r="D5" s="3"/>
    </row>
    <row r="6" spans="1:4" x14ac:dyDescent="0.3">
      <c r="A6" s="3" t="s">
        <v>8</v>
      </c>
      <c r="B6" s="3" t="s">
        <v>9</v>
      </c>
      <c r="C6" s="3"/>
      <c r="D6" s="3"/>
    </row>
    <row r="7" spans="1:4" x14ac:dyDescent="0.3">
      <c r="A7" s="3" t="s">
        <v>10</v>
      </c>
      <c r="B7" s="3" t="s">
        <v>11</v>
      </c>
      <c r="C7" s="3"/>
      <c r="D7" s="3"/>
    </row>
    <row r="8" spans="1:4" x14ac:dyDescent="0.3">
      <c r="A8" s="3" t="s">
        <v>12</v>
      </c>
      <c r="B8" s="3" t="s">
        <v>13</v>
      </c>
      <c r="C8" s="3"/>
      <c r="D8" s="3"/>
    </row>
    <row r="9" spans="1:4" ht="27.6" x14ac:dyDescent="0.3">
      <c r="A9" s="3" t="s">
        <v>14</v>
      </c>
      <c r="B9" s="3" t="s">
        <v>15</v>
      </c>
      <c r="C9" s="3"/>
      <c r="D9" s="3"/>
    </row>
    <row r="10" spans="1:4" x14ac:dyDescent="0.3">
      <c r="A10" s="3"/>
      <c r="B10" s="3"/>
      <c r="C10" s="3"/>
      <c r="D10" s="3"/>
    </row>
    <row r="11" spans="1:4" x14ac:dyDescent="0.3">
      <c r="A11" s="4" t="s">
        <v>16</v>
      </c>
      <c r="B11" s="3"/>
      <c r="C11" s="3"/>
      <c r="D11" s="3"/>
    </row>
    <row r="12" spans="1:4" x14ac:dyDescent="0.3">
      <c r="A12" s="3" t="s">
        <v>17</v>
      </c>
      <c r="B12" s="3" t="s">
        <v>18</v>
      </c>
      <c r="C12" s="3"/>
      <c r="D12" s="3"/>
    </row>
    <row r="13" spans="1:4" x14ac:dyDescent="0.3">
      <c r="A13" s="3" t="s">
        <v>19</v>
      </c>
      <c r="B13" s="3" t="s">
        <v>20</v>
      </c>
      <c r="C13" s="3"/>
      <c r="D13" s="3"/>
    </row>
    <row r="14" spans="1:4" x14ac:dyDescent="0.3">
      <c r="A14" s="3" t="s">
        <v>21</v>
      </c>
      <c r="B14" s="3" t="s">
        <v>22</v>
      </c>
      <c r="C14" s="3"/>
      <c r="D14" s="3"/>
    </row>
    <row r="15" spans="1:4" ht="27.6" x14ac:dyDescent="0.3">
      <c r="A15" s="3" t="s">
        <v>23</v>
      </c>
      <c r="B15" s="3" t="s">
        <v>24</v>
      </c>
      <c r="C15" s="3"/>
      <c r="D15" s="3"/>
    </row>
    <row r="16" spans="1:4" ht="27.6" x14ac:dyDescent="0.3">
      <c r="A16" s="3" t="s">
        <v>25</v>
      </c>
      <c r="B16" s="3" t="s">
        <v>26</v>
      </c>
      <c r="C16" s="3"/>
      <c r="D16" s="3"/>
    </row>
    <row r="17" spans="1:4" x14ac:dyDescent="0.3">
      <c r="A17" s="3" t="s">
        <v>27</v>
      </c>
      <c r="B17" s="3" t="s">
        <v>28</v>
      </c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4" t="s">
        <v>29</v>
      </c>
      <c r="B19" s="3"/>
      <c r="C19" s="3"/>
      <c r="D19" s="3"/>
    </row>
    <row r="20" spans="1:4" ht="27.6" x14ac:dyDescent="0.3">
      <c r="A20" s="3" t="s">
        <v>30</v>
      </c>
      <c r="B20" s="3" t="s">
        <v>31</v>
      </c>
      <c r="C20" s="3"/>
      <c r="D20" s="3"/>
    </row>
    <row r="21" spans="1:4" x14ac:dyDescent="0.3">
      <c r="A21" s="3" t="s">
        <v>32</v>
      </c>
      <c r="B21" s="3" t="s">
        <v>33</v>
      </c>
      <c r="C21" s="3"/>
      <c r="D21" s="3"/>
    </row>
    <row r="22" spans="1:4" ht="27.6" x14ac:dyDescent="0.3">
      <c r="A22" s="3" t="s">
        <v>34</v>
      </c>
      <c r="B22" s="3" t="s">
        <v>35</v>
      </c>
      <c r="C22" s="3"/>
      <c r="D22" s="3"/>
    </row>
    <row r="23" spans="1:4" x14ac:dyDescent="0.3">
      <c r="A23" s="3" t="s">
        <v>36</v>
      </c>
      <c r="B23" s="3" t="s">
        <v>37</v>
      </c>
      <c r="C23" s="3"/>
      <c r="D23" s="3"/>
    </row>
    <row r="24" spans="1:4" x14ac:dyDescent="0.3">
      <c r="A24" s="3" t="s">
        <v>38</v>
      </c>
      <c r="B24" s="3" t="s">
        <v>39</v>
      </c>
      <c r="C24" s="3"/>
      <c r="D24" s="3"/>
    </row>
    <row r="25" spans="1:4" x14ac:dyDescent="0.3">
      <c r="A25" s="3"/>
      <c r="B25" s="3"/>
      <c r="C25" s="3"/>
      <c r="D25" s="3"/>
    </row>
    <row r="26" spans="1:4" x14ac:dyDescent="0.3">
      <c r="A26" s="4" t="s">
        <v>40</v>
      </c>
      <c r="B26" s="3"/>
      <c r="C26" s="3"/>
      <c r="D26" s="3"/>
    </row>
    <row r="27" spans="1:4" x14ac:dyDescent="0.3">
      <c r="A27" s="3" t="s">
        <v>41</v>
      </c>
      <c r="B27" s="3" t="s">
        <v>42</v>
      </c>
      <c r="C27" s="3"/>
      <c r="D27" s="3"/>
    </row>
    <row r="28" spans="1:4" x14ac:dyDescent="0.3">
      <c r="A28" s="3" t="s">
        <v>43</v>
      </c>
      <c r="B28" s="3" t="s">
        <v>44</v>
      </c>
      <c r="C28" s="3"/>
      <c r="D28" s="3"/>
    </row>
    <row r="29" spans="1:4" x14ac:dyDescent="0.3">
      <c r="A29" s="3" t="s">
        <v>45</v>
      </c>
      <c r="B29" s="3" t="s">
        <v>46</v>
      </c>
      <c r="C29" s="3"/>
      <c r="D29" s="3"/>
    </row>
    <row r="30" spans="1:4" x14ac:dyDescent="0.3">
      <c r="A30" s="3" t="s">
        <v>47</v>
      </c>
      <c r="B30" s="3" t="s">
        <v>48</v>
      </c>
      <c r="C30" s="3"/>
      <c r="D30" s="3"/>
    </row>
    <row r="31" spans="1:4" x14ac:dyDescent="0.3">
      <c r="A31" s="3" t="s">
        <v>49</v>
      </c>
      <c r="B31" s="3" t="s">
        <v>50</v>
      </c>
      <c r="C31" s="3"/>
      <c r="D31" s="3"/>
    </row>
    <row r="32" spans="1:4" x14ac:dyDescent="0.3">
      <c r="A32" s="3"/>
      <c r="B32" s="3"/>
      <c r="C32" s="3"/>
      <c r="D32" s="3"/>
    </row>
    <row r="33" spans="1:4" x14ac:dyDescent="0.3">
      <c r="A33" s="4" t="s">
        <v>51</v>
      </c>
      <c r="B33" s="3"/>
      <c r="C33" s="3"/>
      <c r="D33" s="3"/>
    </row>
    <row r="34" spans="1:4" x14ac:dyDescent="0.3">
      <c r="A34" s="3" t="s">
        <v>52</v>
      </c>
      <c r="B34" s="3" t="s">
        <v>53</v>
      </c>
      <c r="C34" s="3"/>
      <c r="D34" s="3"/>
    </row>
    <row r="35" spans="1:4" x14ac:dyDescent="0.3">
      <c r="A35" s="3" t="s">
        <v>54</v>
      </c>
      <c r="B35" s="3" t="s">
        <v>55</v>
      </c>
      <c r="C35" s="3"/>
      <c r="D35" s="3"/>
    </row>
    <row r="36" spans="1:4" x14ac:dyDescent="0.3">
      <c r="A36" s="3" t="s">
        <v>56</v>
      </c>
      <c r="B36" s="3" t="s">
        <v>57</v>
      </c>
      <c r="C36" s="3"/>
      <c r="D36" s="3"/>
    </row>
    <row r="37" spans="1:4" x14ac:dyDescent="0.3">
      <c r="A37" s="3" t="s">
        <v>58</v>
      </c>
      <c r="B37" s="3" t="s">
        <v>59</v>
      </c>
      <c r="C37" s="3"/>
      <c r="D37" s="3"/>
    </row>
    <row r="38" spans="1:4" x14ac:dyDescent="0.3">
      <c r="A38" s="3" t="s">
        <v>60</v>
      </c>
      <c r="B38" s="3" t="s">
        <v>61</v>
      </c>
      <c r="C38" s="3"/>
      <c r="D38" s="3"/>
    </row>
    <row r="39" spans="1:4" x14ac:dyDescent="0.3">
      <c r="A39" s="3" t="s">
        <v>62</v>
      </c>
      <c r="B39" s="3" t="s">
        <v>63</v>
      </c>
      <c r="C39" s="3"/>
      <c r="D39" s="3"/>
    </row>
    <row r="40" spans="1:4" x14ac:dyDescent="0.3">
      <c r="A40" s="3"/>
      <c r="B40" s="3"/>
      <c r="C40" s="3"/>
      <c r="D40" s="3"/>
    </row>
    <row r="41" spans="1:4" x14ac:dyDescent="0.3">
      <c r="A41" s="4" t="s">
        <v>64</v>
      </c>
      <c r="B41" s="3"/>
      <c r="C41" s="3"/>
      <c r="D41" s="3"/>
    </row>
    <row r="42" spans="1:4" x14ac:dyDescent="0.3">
      <c r="A42" s="3" t="s">
        <v>65</v>
      </c>
      <c r="B42" s="3" t="s">
        <v>66</v>
      </c>
      <c r="C42" s="3"/>
      <c r="D42" s="3"/>
    </row>
    <row r="43" spans="1:4" x14ac:dyDescent="0.3">
      <c r="A43" s="3" t="s">
        <v>67</v>
      </c>
      <c r="B43" s="3" t="s">
        <v>68</v>
      </c>
      <c r="C43" s="3"/>
      <c r="D43" s="3"/>
    </row>
    <row r="44" spans="1:4" x14ac:dyDescent="0.3">
      <c r="A44" s="3" t="s">
        <v>69</v>
      </c>
      <c r="B44" s="3" t="s">
        <v>70</v>
      </c>
      <c r="C44" s="3"/>
      <c r="D44" s="3"/>
    </row>
    <row r="45" spans="1:4" x14ac:dyDescent="0.3">
      <c r="A45" s="3" t="s">
        <v>71</v>
      </c>
      <c r="B45" s="3" t="s">
        <v>72</v>
      </c>
      <c r="C45" s="3"/>
      <c r="D45" s="3"/>
    </row>
    <row r="46" spans="1:4" x14ac:dyDescent="0.3">
      <c r="A46" s="3"/>
      <c r="B46" s="3"/>
      <c r="C46" s="3"/>
      <c r="D46" s="3"/>
    </row>
    <row r="47" spans="1:4" x14ac:dyDescent="0.3">
      <c r="A47" s="4" t="s">
        <v>73</v>
      </c>
      <c r="B47" s="3"/>
      <c r="C47" s="3"/>
      <c r="D47" s="3"/>
    </row>
    <row r="48" spans="1:4" ht="41.4" x14ac:dyDescent="0.3">
      <c r="A48" s="3" t="s">
        <v>74</v>
      </c>
      <c r="B48" s="3" t="s">
        <v>75</v>
      </c>
      <c r="C48" s="3"/>
      <c r="D48" s="3"/>
    </row>
    <row r="49" spans="1:4" ht="27.6" x14ac:dyDescent="0.3">
      <c r="A49" s="3" t="s">
        <v>76</v>
      </c>
      <c r="B49" s="3" t="s">
        <v>77</v>
      </c>
      <c r="C49" s="3"/>
      <c r="D49" s="3"/>
    </row>
    <row r="50" spans="1:4" ht="27.6" x14ac:dyDescent="0.3">
      <c r="A50" s="3" t="s">
        <v>78</v>
      </c>
      <c r="B50" s="3" t="s">
        <v>79</v>
      </c>
      <c r="C50" s="3"/>
      <c r="D50" s="3"/>
    </row>
    <row r="51" spans="1:4" x14ac:dyDescent="0.3">
      <c r="A51" s="3"/>
      <c r="B51" s="3"/>
      <c r="C51" s="3"/>
      <c r="D51" s="3"/>
    </row>
    <row r="52" spans="1:4" x14ac:dyDescent="0.3">
      <c r="A52" s="4" t="s">
        <v>80</v>
      </c>
      <c r="B52" s="3"/>
      <c r="C52" s="3"/>
      <c r="D52" s="3"/>
    </row>
    <row r="53" spans="1:4" x14ac:dyDescent="0.3">
      <c r="A53" s="5" t="s">
        <v>6</v>
      </c>
      <c r="B53" s="5" t="s">
        <v>81</v>
      </c>
      <c r="C53" s="5" t="s">
        <v>8</v>
      </c>
      <c r="D53" s="5" t="s">
        <v>82</v>
      </c>
    </row>
    <row r="54" spans="1:4" ht="27.6" x14ac:dyDescent="0.3">
      <c r="A54" s="3" t="s">
        <v>7</v>
      </c>
      <c r="B54" s="3" t="s">
        <v>83</v>
      </c>
      <c r="C54" s="3" t="s">
        <v>9</v>
      </c>
      <c r="D54" s="3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9"/>
  <sheetViews>
    <sheetView showGridLines="0" tabSelected="1" zoomScaleNormal="100" workbookViewId="0">
      <pane xSplit="5" ySplit="3" topLeftCell="H85" activePane="bottomRight" state="frozen"/>
      <selection pane="topRight"/>
      <selection pane="bottomLeft"/>
      <selection pane="bottomRight" activeCell="E13" sqref="E13"/>
    </sheetView>
  </sheetViews>
  <sheetFormatPr baseColWidth="10" defaultColWidth="8.88671875" defaultRowHeight="14.4" x14ac:dyDescent="0.3"/>
  <cols>
    <col min="1" max="1" width="5" customWidth="1"/>
    <col min="2" max="2" width="9" customWidth="1"/>
    <col min="3" max="4" width="30" customWidth="1"/>
    <col min="5" max="5" width="38" customWidth="1"/>
    <col min="6" max="6" width="62" customWidth="1"/>
    <col min="7" max="7" width="15" customWidth="1"/>
    <col min="8" max="8" width="32" customWidth="1"/>
    <col min="9" max="14" width="9" customWidth="1"/>
    <col min="15" max="15" width="7" customWidth="1"/>
    <col min="16" max="16" width="8" customWidth="1"/>
    <col min="17" max="17" width="12" customWidth="1"/>
    <col min="18" max="18" width="20" customWidth="1"/>
    <col min="19" max="19" width="22" customWidth="1"/>
    <col min="20" max="20" width="11" customWidth="1"/>
    <col min="21" max="21" width="12" customWidth="1"/>
    <col min="22" max="22" width="18" customWidth="1"/>
    <col min="23" max="23" width="14" customWidth="1"/>
    <col min="24" max="24" width="26" customWidth="1"/>
    <col min="25" max="25" width="50" customWidth="1"/>
  </cols>
  <sheetData>
    <row r="1" spans="1:25" ht="24" customHeight="1" x14ac:dyDescent="0.4">
      <c r="A1" s="1" t="s">
        <v>85</v>
      </c>
      <c r="Y1" s="2" t="s">
        <v>1</v>
      </c>
    </row>
    <row r="3" spans="1:25" ht="34.049999999999997" customHeight="1" x14ac:dyDescent="0.3">
      <c r="A3" s="6" t="s">
        <v>86</v>
      </c>
      <c r="B3" s="6" t="s">
        <v>87</v>
      </c>
      <c r="C3" s="6" t="s">
        <v>88</v>
      </c>
      <c r="D3" s="6" t="s">
        <v>89</v>
      </c>
      <c r="E3" s="6" t="s">
        <v>90</v>
      </c>
      <c r="F3" s="6" t="s">
        <v>91</v>
      </c>
      <c r="G3" s="6" t="s">
        <v>92</v>
      </c>
      <c r="H3" s="6" t="s">
        <v>93</v>
      </c>
      <c r="I3" s="6" t="s">
        <v>94</v>
      </c>
      <c r="J3" s="6" t="s">
        <v>95</v>
      </c>
      <c r="K3" s="6" t="s">
        <v>96</v>
      </c>
      <c r="L3" s="6" t="s">
        <v>97</v>
      </c>
      <c r="M3" s="6" t="s">
        <v>98</v>
      </c>
      <c r="N3" s="6" t="s">
        <v>99</v>
      </c>
      <c r="O3" s="6" t="s">
        <v>100</v>
      </c>
      <c r="P3" s="6" t="s">
        <v>101</v>
      </c>
      <c r="Q3" s="6" t="s">
        <v>102</v>
      </c>
      <c r="R3" s="6" t="s">
        <v>103</v>
      </c>
      <c r="S3" s="6" t="s">
        <v>104</v>
      </c>
      <c r="T3" s="6" t="s">
        <v>105</v>
      </c>
      <c r="U3" s="6" t="s">
        <v>106</v>
      </c>
      <c r="V3" s="6" t="s">
        <v>107</v>
      </c>
      <c r="W3" s="6" t="s">
        <v>108</v>
      </c>
      <c r="X3" s="6" t="s">
        <v>109</v>
      </c>
      <c r="Y3" s="6" t="s">
        <v>110</v>
      </c>
    </row>
    <row r="4" spans="1:25" x14ac:dyDescent="0.3">
      <c r="A4" s="7">
        <v>1</v>
      </c>
      <c r="B4" s="8" t="s">
        <v>111</v>
      </c>
      <c r="C4" s="9" t="s">
        <v>112</v>
      </c>
      <c r="D4" s="9" t="s">
        <v>113</v>
      </c>
      <c r="E4" s="10" t="s">
        <v>114</v>
      </c>
      <c r="F4" s="10" t="s">
        <v>115</v>
      </c>
      <c r="G4" s="7" t="s">
        <v>116</v>
      </c>
      <c r="H4" s="10" t="s">
        <v>117</v>
      </c>
      <c r="I4" s="7"/>
      <c r="J4" s="7"/>
      <c r="K4" s="7"/>
      <c r="L4" s="7"/>
      <c r="M4" s="7"/>
      <c r="N4" s="7" t="s">
        <v>118</v>
      </c>
      <c r="O4" s="7">
        <v>1</v>
      </c>
      <c r="P4" s="7"/>
      <c r="Q4" s="10"/>
      <c r="R4" s="8" t="s">
        <v>119</v>
      </c>
      <c r="S4" s="8" t="s">
        <v>120</v>
      </c>
      <c r="T4" s="7" t="s">
        <v>121</v>
      </c>
      <c r="U4" s="7"/>
      <c r="V4" s="8"/>
      <c r="W4" s="7"/>
      <c r="X4" s="8"/>
      <c r="Y4" s="10"/>
    </row>
    <row r="5" spans="1:25" x14ac:dyDescent="0.3">
      <c r="A5" s="7">
        <v>2</v>
      </c>
      <c r="B5" s="8" t="s">
        <v>122</v>
      </c>
      <c r="C5" s="9" t="s">
        <v>112</v>
      </c>
      <c r="D5" s="9" t="s">
        <v>113</v>
      </c>
      <c r="E5" s="10" t="s">
        <v>123</v>
      </c>
      <c r="F5" s="10" t="s">
        <v>123</v>
      </c>
      <c r="G5" s="7" t="s">
        <v>116</v>
      </c>
      <c r="H5" s="10" t="s">
        <v>117</v>
      </c>
      <c r="I5" s="7"/>
      <c r="J5" s="7"/>
      <c r="K5" s="7"/>
      <c r="L5" s="7"/>
      <c r="M5" s="7"/>
      <c r="N5" s="7" t="s">
        <v>118</v>
      </c>
      <c r="O5" s="7">
        <v>1</v>
      </c>
      <c r="P5" s="7"/>
      <c r="Q5" s="10"/>
      <c r="R5" s="8" t="s">
        <v>119</v>
      </c>
      <c r="S5" s="8" t="s">
        <v>120</v>
      </c>
      <c r="T5" s="7" t="s">
        <v>121</v>
      </c>
      <c r="U5" s="7"/>
      <c r="V5" s="8"/>
      <c r="W5" s="7"/>
      <c r="X5" s="8"/>
      <c r="Y5" s="10"/>
    </row>
    <row r="6" spans="1:25" x14ac:dyDescent="0.3">
      <c r="A6" s="7">
        <v>3</v>
      </c>
      <c r="B6" s="8" t="s">
        <v>124</v>
      </c>
      <c r="C6" s="9" t="s">
        <v>112</v>
      </c>
      <c r="D6" s="9" t="s">
        <v>113</v>
      </c>
      <c r="E6" s="10" t="s">
        <v>125</v>
      </c>
      <c r="F6" s="10" t="s">
        <v>126</v>
      </c>
      <c r="G6" s="7" t="s">
        <v>116</v>
      </c>
      <c r="H6" s="10" t="s">
        <v>117</v>
      </c>
      <c r="I6" s="7"/>
      <c r="J6" s="7"/>
      <c r="K6" s="7"/>
      <c r="L6" s="7"/>
      <c r="M6" s="7"/>
      <c r="N6" s="7" t="s">
        <v>118</v>
      </c>
      <c r="O6" s="7">
        <v>1</v>
      </c>
      <c r="P6" s="7"/>
      <c r="Q6" s="10"/>
      <c r="R6" s="8" t="s">
        <v>119</v>
      </c>
      <c r="S6" s="8" t="s">
        <v>120</v>
      </c>
      <c r="T6" s="7" t="s">
        <v>121</v>
      </c>
      <c r="U6" s="7"/>
      <c r="V6" s="8"/>
      <c r="W6" s="7"/>
      <c r="X6" s="8"/>
      <c r="Y6" s="10"/>
    </row>
    <row r="7" spans="1:25" x14ac:dyDescent="0.3">
      <c r="A7" s="7">
        <v>4</v>
      </c>
      <c r="B7" s="8" t="s">
        <v>127</v>
      </c>
      <c r="C7" s="9" t="s">
        <v>112</v>
      </c>
      <c r="D7" s="9" t="s">
        <v>113</v>
      </c>
      <c r="E7" s="10" t="s">
        <v>128</v>
      </c>
      <c r="F7" s="10" t="s">
        <v>129</v>
      </c>
      <c r="G7" s="7" t="s">
        <v>116</v>
      </c>
      <c r="H7" s="10" t="s">
        <v>117</v>
      </c>
      <c r="I7" s="7"/>
      <c r="J7" s="7"/>
      <c r="K7" s="7"/>
      <c r="L7" s="7"/>
      <c r="M7" s="7"/>
      <c r="N7" s="7" t="s">
        <v>118</v>
      </c>
      <c r="O7" s="7">
        <v>1</v>
      </c>
      <c r="P7" s="7"/>
      <c r="Q7" s="10"/>
      <c r="R7" s="8" t="s">
        <v>119</v>
      </c>
      <c r="S7" s="8" t="s">
        <v>120</v>
      </c>
      <c r="T7" s="7" t="s">
        <v>121</v>
      </c>
      <c r="U7" s="7"/>
      <c r="V7" s="8"/>
      <c r="W7" s="7"/>
      <c r="X7" s="8"/>
      <c r="Y7" s="10"/>
    </row>
    <row r="8" spans="1:25" x14ac:dyDescent="0.3">
      <c r="A8" s="7">
        <v>5</v>
      </c>
      <c r="B8" s="8" t="s">
        <v>130</v>
      </c>
      <c r="C8" s="9" t="s">
        <v>112</v>
      </c>
      <c r="D8" s="9" t="s">
        <v>113</v>
      </c>
      <c r="E8" s="10" t="s">
        <v>131</v>
      </c>
      <c r="F8" s="10" t="s">
        <v>131</v>
      </c>
      <c r="G8" s="7" t="s">
        <v>116</v>
      </c>
      <c r="H8" s="10" t="s">
        <v>117</v>
      </c>
      <c r="I8" s="7"/>
      <c r="J8" s="7"/>
      <c r="K8" s="7"/>
      <c r="L8" s="7"/>
      <c r="M8" s="7"/>
      <c r="N8" s="7" t="s">
        <v>118</v>
      </c>
      <c r="O8" s="7">
        <v>1</v>
      </c>
      <c r="P8" s="7"/>
      <c r="Q8" s="10"/>
      <c r="R8" s="8" t="s">
        <v>119</v>
      </c>
      <c r="S8" s="8" t="s">
        <v>120</v>
      </c>
      <c r="T8" s="7" t="s">
        <v>121</v>
      </c>
      <c r="U8" s="7"/>
      <c r="V8" s="8"/>
      <c r="W8" s="7"/>
      <c r="X8" s="8"/>
      <c r="Y8" s="10"/>
    </row>
    <row r="9" spans="1:25" x14ac:dyDescent="0.3">
      <c r="A9" s="7">
        <v>6</v>
      </c>
      <c r="B9" s="8" t="s">
        <v>132</v>
      </c>
      <c r="C9" s="9" t="s">
        <v>112</v>
      </c>
      <c r="D9" s="9" t="s">
        <v>113</v>
      </c>
      <c r="E9" s="10" t="s">
        <v>133</v>
      </c>
      <c r="F9" s="10" t="s">
        <v>134</v>
      </c>
      <c r="G9" s="7" t="s">
        <v>116</v>
      </c>
      <c r="H9" s="10" t="s">
        <v>117</v>
      </c>
      <c r="I9" s="7"/>
      <c r="J9" s="7"/>
      <c r="K9" s="7"/>
      <c r="L9" s="7"/>
      <c r="M9" s="7"/>
      <c r="N9" s="7" t="s">
        <v>118</v>
      </c>
      <c r="O9" s="7">
        <v>1</v>
      </c>
      <c r="P9" s="7"/>
      <c r="Q9" s="10"/>
      <c r="R9" s="8" t="s">
        <v>119</v>
      </c>
      <c r="S9" s="8" t="s">
        <v>120</v>
      </c>
      <c r="T9" s="7" t="s">
        <v>121</v>
      </c>
      <c r="U9" s="7"/>
      <c r="V9" s="8"/>
      <c r="W9" s="7"/>
      <c r="X9" s="8"/>
      <c r="Y9" s="10"/>
    </row>
    <row r="10" spans="1:25" x14ac:dyDescent="0.3">
      <c r="A10" s="7">
        <v>7</v>
      </c>
      <c r="B10" s="8" t="s">
        <v>135</v>
      </c>
      <c r="C10" s="9" t="s">
        <v>112</v>
      </c>
      <c r="D10" s="9" t="s">
        <v>136</v>
      </c>
      <c r="E10" s="10" t="s">
        <v>137</v>
      </c>
      <c r="F10" s="10" t="s">
        <v>138</v>
      </c>
      <c r="G10" s="7" t="s">
        <v>116</v>
      </c>
      <c r="H10" s="10" t="s">
        <v>117</v>
      </c>
      <c r="I10" s="7"/>
      <c r="J10" s="7"/>
      <c r="K10" s="7"/>
      <c r="L10" s="7"/>
      <c r="M10" s="7"/>
      <c r="N10" s="7" t="s">
        <v>118</v>
      </c>
      <c r="O10" s="7">
        <v>1</v>
      </c>
      <c r="P10" s="7"/>
      <c r="Q10" s="10"/>
      <c r="R10" s="8" t="s">
        <v>139</v>
      </c>
      <c r="S10" s="8" t="s">
        <v>140</v>
      </c>
      <c r="T10" s="7" t="s">
        <v>121</v>
      </c>
      <c r="U10" s="7"/>
      <c r="V10" s="8"/>
      <c r="W10" s="7"/>
      <c r="X10" s="8"/>
      <c r="Y10" s="10"/>
    </row>
    <row r="11" spans="1:25" x14ac:dyDescent="0.3">
      <c r="A11" s="7">
        <v>8</v>
      </c>
      <c r="B11" s="8" t="s">
        <v>141</v>
      </c>
      <c r="C11" s="9" t="s">
        <v>112</v>
      </c>
      <c r="D11" s="9" t="s">
        <v>136</v>
      </c>
      <c r="E11" s="10" t="s">
        <v>142</v>
      </c>
      <c r="F11" s="10" t="s">
        <v>143</v>
      </c>
      <c r="G11" s="7" t="s">
        <v>116</v>
      </c>
      <c r="H11" s="10" t="s">
        <v>117</v>
      </c>
      <c r="I11" s="7"/>
      <c r="J11" s="7"/>
      <c r="K11" s="7"/>
      <c r="L11" s="7"/>
      <c r="M11" s="7"/>
      <c r="N11" s="7" t="s">
        <v>118</v>
      </c>
      <c r="O11" s="7">
        <v>1</v>
      </c>
      <c r="P11" s="7"/>
      <c r="Q11" s="10"/>
      <c r="R11" s="8" t="s">
        <v>139</v>
      </c>
      <c r="S11" s="8" t="s">
        <v>140</v>
      </c>
      <c r="T11" s="7" t="s">
        <v>121</v>
      </c>
      <c r="U11" s="7"/>
      <c r="V11" s="8"/>
      <c r="W11" s="7"/>
      <c r="X11" s="8"/>
      <c r="Y11" s="10"/>
    </row>
    <row r="12" spans="1:25" x14ac:dyDescent="0.3">
      <c r="A12" s="7">
        <v>9</v>
      </c>
      <c r="B12" s="8" t="s">
        <v>144</v>
      </c>
      <c r="C12" s="9" t="s">
        <v>112</v>
      </c>
      <c r="D12" s="9" t="s">
        <v>136</v>
      </c>
      <c r="E12" s="10" t="s">
        <v>145</v>
      </c>
      <c r="F12" s="10" t="s">
        <v>146</v>
      </c>
      <c r="G12" s="7" t="s">
        <v>116</v>
      </c>
      <c r="H12" s="10" t="s">
        <v>117</v>
      </c>
      <c r="I12" s="7"/>
      <c r="J12" s="7"/>
      <c r="K12" s="7"/>
      <c r="L12" s="7"/>
      <c r="M12" s="7"/>
      <c r="N12" s="7" t="s">
        <v>118</v>
      </c>
      <c r="O12" s="7">
        <v>1</v>
      </c>
      <c r="P12" s="7"/>
      <c r="Q12" s="10"/>
      <c r="R12" s="8" t="s">
        <v>139</v>
      </c>
      <c r="S12" s="8" t="s">
        <v>140</v>
      </c>
      <c r="T12" s="7" t="s">
        <v>121</v>
      </c>
      <c r="U12" s="7"/>
      <c r="V12" s="8"/>
      <c r="W12" s="7"/>
      <c r="X12" s="8"/>
      <c r="Y12" s="10"/>
    </row>
    <row r="13" spans="1:25" x14ac:dyDescent="0.3">
      <c r="A13" s="7">
        <v>10</v>
      </c>
      <c r="B13" s="8" t="s">
        <v>147</v>
      </c>
      <c r="C13" s="9" t="s">
        <v>112</v>
      </c>
      <c r="D13" s="9" t="s">
        <v>136</v>
      </c>
      <c r="E13" s="10" t="s">
        <v>148</v>
      </c>
      <c r="F13" s="10" t="s">
        <v>149</v>
      </c>
      <c r="G13" s="7" t="s">
        <v>116</v>
      </c>
      <c r="H13" s="10" t="s">
        <v>117</v>
      </c>
      <c r="I13" s="7"/>
      <c r="J13" s="7"/>
      <c r="K13" s="7"/>
      <c r="L13" s="7"/>
      <c r="M13" s="7"/>
      <c r="N13" s="7" t="s">
        <v>118</v>
      </c>
      <c r="O13" s="7">
        <v>1</v>
      </c>
      <c r="P13" s="7"/>
      <c r="Q13" s="10"/>
      <c r="R13" s="8" t="s">
        <v>139</v>
      </c>
      <c r="S13" s="8" t="s">
        <v>140</v>
      </c>
      <c r="T13" s="7" t="s">
        <v>121</v>
      </c>
      <c r="U13" s="7"/>
      <c r="V13" s="8"/>
      <c r="W13" s="7"/>
      <c r="X13" s="8"/>
      <c r="Y13" s="10"/>
    </row>
    <row r="14" spans="1:25" x14ac:dyDescent="0.3">
      <c r="A14" s="7">
        <v>11</v>
      </c>
      <c r="B14" s="8" t="s">
        <v>150</v>
      </c>
      <c r="C14" s="9" t="s">
        <v>112</v>
      </c>
      <c r="D14" s="9" t="s">
        <v>136</v>
      </c>
      <c r="E14" s="10" t="s">
        <v>151</v>
      </c>
      <c r="F14" s="10" t="s">
        <v>152</v>
      </c>
      <c r="G14" s="7" t="s">
        <v>116</v>
      </c>
      <c r="H14" s="10" t="s">
        <v>117</v>
      </c>
      <c r="I14" s="7"/>
      <c r="J14" s="7"/>
      <c r="K14" s="7"/>
      <c r="L14" s="7"/>
      <c r="M14" s="7"/>
      <c r="N14" s="7" t="s">
        <v>118</v>
      </c>
      <c r="O14" s="7">
        <v>1</v>
      </c>
      <c r="P14" s="7"/>
      <c r="Q14" s="10"/>
      <c r="R14" s="8" t="s">
        <v>139</v>
      </c>
      <c r="S14" s="8" t="s">
        <v>140</v>
      </c>
      <c r="T14" s="7" t="s">
        <v>121</v>
      </c>
      <c r="U14" s="7"/>
      <c r="V14" s="8"/>
      <c r="W14" s="7"/>
      <c r="X14" s="8"/>
      <c r="Y14" s="10"/>
    </row>
    <row r="15" spans="1:25" x14ac:dyDescent="0.3">
      <c r="A15" s="7">
        <v>12</v>
      </c>
      <c r="B15" s="8" t="s">
        <v>153</v>
      </c>
      <c r="C15" s="9" t="s">
        <v>112</v>
      </c>
      <c r="D15" s="9" t="s">
        <v>136</v>
      </c>
      <c r="E15" s="10" t="s">
        <v>154</v>
      </c>
      <c r="F15" s="10" t="s">
        <v>155</v>
      </c>
      <c r="G15" s="7" t="s">
        <v>116</v>
      </c>
      <c r="H15" s="10" t="s">
        <v>117</v>
      </c>
      <c r="I15" s="7"/>
      <c r="J15" s="7"/>
      <c r="K15" s="7"/>
      <c r="L15" s="7"/>
      <c r="M15" s="7"/>
      <c r="N15" s="7" t="s">
        <v>118</v>
      </c>
      <c r="O15" s="7">
        <v>1</v>
      </c>
      <c r="P15" s="7"/>
      <c r="Q15" s="10"/>
      <c r="R15" s="8" t="s">
        <v>139</v>
      </c>
      <c r="S15" s="8" t="s">
        <v>140</v>
      </c>
      <c r="T15" s="7" t="s">
        <v>121</v>
      </c>
      <c r="U15" s="7"/>
      <c r="V15" s="8"/>
      <c r="W15" s="7"/>
      <c r="X15" s="8"/>
      <c r="Y15" s="10"/>
    </row>
    <row r="16" spans="1:25" x14ac:dyDescent="0.3">
      <c r="A16" s="7">
        <v>13</v>
      </c>
      <c r="B16" s="8" t="s">
        <v>156</v>
      </c>
      <c r="C16" s="9" t="s">
        <v>112</v>
      </c>
      <c r="D16" s="9" t="s">
        <v>136</v>
      </c>
      <c r="E16" s="10" t="s">
        <v>157</v>
      </c>
      <c r="F16" s="10" t="s">
        <v>158</v>
      </c>
      <c r="G16" s="7" t="s">
        <v>116</v>
      </c>
      <c r="H16" s="10" t="s">
        <v>117</v>
      </c>
      <c r="I16" s="7"/>
      <c r="J16" s="7"/>
      <c r="K16" s="7"/>
      <c r="L16" s="7"/>
      <c r="M16" s="7"/>
      <c r="N16" s="7" t="s">
        <v>159</v>
      </c>
      <c r="O16" s="7">
        <v>1</v>
      </c>
      <c r="P16" s="7"/>
      <c r="Q16" s="10"/>
      <c r="R16" s="8" t="s">
        <v>139</v>
      </c>
      <c r="S16" s="8" t="s">
        <v>140</v>
      </c>
      <c r="T16" s="7" t="s">
        <v>121</v>
      </c>
      <c r="U16" s="7"/>
      <c r="V16" s="8"/>
      <c r="W16" s="7"/>
      <c r="X16" s="8"/>
      <c r="Y16" s="10"/>
    </row>
    <row r="17" spans="1:25" x14ac:dyDescent="0.3">
      <c r="A17" s="7">
        <v>14</v>
      </c>
      <c r="B17" s="8" t="s">
        <v>160</v>
      </c>
      <c r="C17" s="9" t="s">
        <v>112</v>
      </c>
      <c r="D17" s="9" t="s">
        <v>161</v>
      </c>
      <c r="E17" s="10" t="s">
        <v>162</v>
      </c>
      <c r="F17" s="10" t="s">
        <v>163</v>
      </c>
      <c r="G17" s="7" t="s">
        <v>116</v>
      </c>
      <c r="H17" s="10" t="s">
        <v>117</v>
      </c>
      <c r="I17" s="7"/>
      <c r="J17" s="7"/>
      <c r="K17" s="7"/>
      <c r="L17" s="7"/>
      <c r="M17" s="7"/>
      <c r="N17" s="7" t="s">
        <v>118</v>
      </c>
      <c r="O17" s="7">
        <v>1</v>
      </c>
      <c r="P17" s="7"/>
      <c r="Q17" s="10"/>
      <c r="R17" s="8" t="s">
        <v>119</v>
      </c>
      <c r="S17" s="8" t="s">
        <v>120</v>
      </c>
      <c r="T17" s="7" t="s">
        <v>121</v>
      </c>
      <c r="U17" s="7"/>
      <c r="V17" s="8"/>
      <c r="W17" s="7"/>
      <c r="X17" s="8"/>
      <c r="Y17" s="10"/>
    </row>
    <row r="18" spans="1:25" x14ac:dyDescent="0.3">
      <c r="A18" s="7">
        <v>15</v>
      </c>
      <c r="B18" s="8" t="s">
        <v>164</v>
      </c>
      <c r="C18" s="9" t="s">
        <v>112</v>
      </c>
      <c r="D18" s="9" t="s">
        <v>161</v>
      </c>
      <c r="E18" s="10" t="s">
        <v>165</v>
      </c>
      <c r="F18" s="10" t="s">
        <v>166</v>
      </c>
      <c r="G18" s="7" t="s">
        <v>116</v>
      </c>
      <c r="H18" s="10" t="s">
        <v>117</v>
      </c>
      <c r="I18" s="7"/>
      <c r="J18" s="7"/>
      <c r="K18" s="7"/>
      <c r="L18" s="7"/>
      <c r="M18" s="7"/>
      <c r="N18" s="7" t="s">
        <v>118</v>
      </c>
      <c r="O18" s="7">
        <v>1</v>
      </c>
      <c r="P18" s="7"/>
      <c r="Q18" s="10"/>
      <c r="R18" s="8" t="s">
        <v>119</v>
      </c>
      <c r="S18" s="8" t="s">
        <v>120</v>
      </c>
      <c r="T18" s="7" t="s">
        <v>121</v>
      </c>
      <c r="U18" s="7"/>
      <c r="V18" s="8"/>
      <c r="W18" s="7"/>
      <c r="X18" s="8"/>
      <c r="Y18" s="10"/>
    </row>
    <row r="19" spans="1:25" ht="27.6" x14ac:dyDescent="0.3">
      <c r="A19" s="7">
        <v>16</v>
      </c>
      <c r="B19" s="8" t="s">
        <v>167</v>
      </c>
      <c r="C19" s="9" t="s">
        <v>112</v>
      </c>
      <c r="D19" s="9" t="s">
        <v>168</v>
      </c>
      <c r="E19" s="10" t="s">
        <v>169</v>
      </c>
      <c r="F19" s="10" t="s">
        <v>170</v>
      </c>
      <c r="G19" s="7" t="s">
        <v>116</v>
      </c>
      <c r="H19" s="10" t="s">
        <v>117</v>
      </c>
      <c r="I19" s="7"/>
      <c r="J19" s="7"/>
      <c r="K19" s="7"/>
      <c r="L19" s="7"/>
      <c r="M19" s="7"/>
      <c r="N19" s="7" t="s">
        <v>159</v>
      </c>
      <c r="O19" s="7">
        <v>1</v>
      </c>
      <c r="P19" s="7"/>
      <c r="Q19" s="10"/>
      <c r="R19" s="8" t="s">
        <v>119</v>
      </c>
      <c r="S19" s="8" t="s">
        <v>120</v>
      </c>
      <c r="T19" s="7" t="s">
        <v>121</v>
      </c>
      <c r="U19" s="7"/>
      <c r="V19" s="8"/>
      <c r="W19" s="7"/>
      <c r="X19" s="8"/>
      <c r="Y19" s="10"/>
    </row>
    <row r="20" spans="1:25" x14ac:dyDescent="0.3">
      <c r="A20" s="7">
        <v>17</v>
      </c>
      <c r="B20" s="8" t="s">
        <v>171</v>
      </c>
      <c r="C20" s="9" t="s">
        <v>112</v>
      </c>
      <c r="D20" s="9" t="s">
        <v>168</v>
      </c>
      <c r="E20" s="10" t="s">
        <v>172</v>
      </c>
      <c r="F20" s="10" t="s">
        <v>173</v>
      </c>
      <c r="G20" s="7" t="s">
        <v>116</v>
      </c>
      <c r="H20" s="10" t="s">
        <v>117</v>
      </c>
      <c r="I20" s="7"/>
      <c r="J20" s="7"/>
      <c r="K20" s="7"/>
      <c r="L20" s="7"/>
      <c r="M20" s="7"/>
      <c r="N20" s="7" t="s">
        <v>159</v>
      </c>
      <c r="O20" s="7">
        <v>1</v>
      </c>
      <c r="P20" s="7"/>
      <c r="Q20" s="10"/>
      <c r="R20" s="8" t="s">
        <v>119</v>
      </c>
      <c r="S20" s="8" t="s">
        <v>120</v>
      </c>
      <c r="T20" s="7" t="s">
        <v>121</v>
      </c>
      <c r="U20" s="7"/>
      <c r="V20" s="8"/>
      <c r="W20" s="7"/>
      <c r="X20" s="8"/>
      <c r="Y20" s="10"/>
    </row>
    <row r="21" spans="1:25" x14ac:dyDescent="0.3">
      <c r="A21" s="7">
        <v>18</v>
      </c>
      <c r="B21" s="8" t="s">
        <v>174</v>
      </c>
      <c r="C21" s="9" t="s">
        <v>112</v>
      </c>
      <c r="D21" s="9" t="s">
        <v>168</v>
      </c>
      <c r="E21" s="10" t="s">
        <v>175</v>
      </c>
      <c r="F21" s="10" t="s">
        <v>176</v>
      </c>
      <c r="G21" s="7" t="s">
        <v>116</v>
      </c>
      <c r="H21" s="10" t="s">
        <v>117</v>
      </c>
      <c r="I21" s="7"/>
      <c r="J21" s="7"/>
      <c r="K21" s="7"/>
      <c r="L21" s="7"/>
      <c r="M21" s="7"/>
      <c r="N21" s="7" t="s">
        <v>159</v>
      </c>
      <c r="O21" s="7">
        <v>1</v>
      </c>
      <c r="P21" s="7"/>
      <c r="Q21" s="10"/>
      <c r="R21" s="8" t="s">
        <v>119</v>
      </c>
      <c r="S21" s="8" t="s">
        <v>120</v>
      </c>
      <c r="T21" s="7" t="s">
        <v>121</v>
      </c>
      <c r="U21" s="7"/>
      <c r="V21" s="8"/>
      <c r="W21" s="7"/>
      <c r="X21" s="8"/>
      <c r="Y21" s="10"/>
    </row>
    <row r="22" spans="1:25" x14ac:dyDescent="0.3">
      <c r="A22" s="7">
        <v>19</v>
      </c>
      <c r="B22" s="8" t="s">
        <v>177</v>
      </c>
      <c r="C22" s="9" t="s">
        <v>112</v>
      </c>
      <c r="D22" s="9" t="s">
        <v>168</v>
      </c>
      <c r="E22" s="10" t="s">
        <v>178</v>
      </c>
      <c r="F22" s="10" t="s">
        <v>179</v>
      </c>
      <c r="G22" s="7" t="s">
        <v>116</v>
      </c>
      <c r="H22" s="10" t="s">
        <v>117</v>
      </c>
      <c r="I22" s="7"/>
      <c r="J22" s="7"/>
      <c r="K22" s="7"/>
      <c r="L22" s="7"/>
      <c r="M22" s="7"/>
      <c r="N22" s="7" t="s">
        <v>159</v>
      </c>
      <c r="O22" s="7">
        <v>1</v>
      </c>
      <c r="P22" s="7"/>
      <c r="Q22" s="10"/>
      <c r="R22" s="8" t="s">
        <v>180</v>
      </c>
      <c r="S22" s="8" t="s">
        <v>140</v>
      </c>
      <c r="T22" s="7" t="s">
        <v>121</v>
      </c>
      <c r="U22" s="7"/>
      <c r="V22" s="8"/>
      <c r="W22" s="7"/>
      <c r="X22" s="8"/>
      <c r="Y22" s="10"/>
    </row>
    <row r="23" spans="1:25" ht="27.6" x14ac:dyDescent="0.3">
      <c r="A23" s="7">
        <v>20</v>
      </c>
      <c r="B23" s="8" t="s">
        <v>181</v>
      </c>
      <c r="C23" s="9" t="s">
        <v>112</v>
      </c>
      <c r="D23" s="9" t="s">
        <v>168</v>
      </c>
      <c r="E23" s="10" t="s">
        <v>182</v>
      </c>
      <c r="F23" s="10" t="s">
        <v>183</v>
      </c>
      <c r="G23" s="7" t="s">
        <v>116</v>
      </c>
      <c r="H23" s="10" t="s">
        <v>117</v>
      </c>
      <c r="I23" s="7"/>
      <c r="J23" s="7"/>
      <c r="K23" s="7"/>
      <c r="L23" s="7"/>
      <c r="M23" s="7"/>
      <c r="N23" s="7" t="s">
        <v>159</v>
      </c>
      <c r="O23" s="7">
        <v>1</v>
      </c>
      <c r="P23" s="7"/>
      <c r="Q23" s="10"/>
      <c r="R23" s="8" t="s">
        <v>180</v>
      </c>
      <c r="S23" s="8" t="s">
        <v>140</v>
      </c>
      <c r="T23" s="7" t="s">
        <v>121</v>
      </c>
      <c r="U23" s="7"/>
      <c r="V23" s="8"/>
      <c r="W23" s="7"/>
      <c r="X23" s="8"/>
      <c r="Y23" s="10"/>
    </row>
    <row r="24" spans="1:25" x14ac:dyDescent="0.3">
      <c r="A24" s="7">
        <v>21</v>
      </c>
      <c r="B24" s="8" t="s">
        <v>184</v>
      </c>
      <c r="C24" s="9" t="s">
        <v>112</v>
      </c>
      <c r="D24" s="9" t="s">
        <v>168</v>
      </c>
      <c r="E24" s="10" t="s">
        <v>185</v>
      </c>
      <c r="F24" s="10" t="s">
        <v>186</v>
      </c>
      <c r="G24" s="7" t="s">
        <v>116</v>
      </c>
      <c r="H24" s="10" t="s">
        <v>117</v>
      </c>
      <c r="I24" s="7"/>
      <c r="J24" s="7"/>
      <c r="K24" s="7"/>
      <c r="L24" s="7"/>
      <c r="M24" s="7"/>
      <c r="N24" s="7" t="s">
        <v>159</v>
      </c>
      <c r="O24" s="7">
        <v>1</v>
      </c>
      <c r="P24" s="7"/>
      <c r="Q24" s="10"/>
      <c r="R24" s="8" t="s">
        <v>180</v>
      </c>
      <c r="S24" s="8" t="s">
        <v>140</v>
      </c>
      <c r="T24" s="7" t="s">
        <v>121</v>
      </c>
      <c r="U24" s="7"/>
      <c r="V24" s="8"/>
      <c r="W24" s="7"/>
      <c r="X24" s="8"/>
      <c r="Y24" s="10"/>
    </row>
    <row r="25" spans="1:25" x14ac:dyDescent="0.3">
      <c r="A25" s="7">
        <v>22</v>
      </c>
      <c r="B25" s="8" t="s">
        <v>187</v>
      </c>
      <c r="C25" s="9" t="s">
        <v>112</v>
      </c>
      <c r="D25" s="9" t="s">
        <v>168</v>
      </c>
      <c r="E25" s="10" t="s">
        <v>188</v>
      </c>
      <c r="F25" s="10" t="s">
        <v>189</v>
      </c>
      <c r="G25" s="7" t="s">
        <v>116</v>
      </c>
      <c r="H25" s="10" t="s">
        <v>117</v>
      </c>
      <c r="I25" s="7"/>
      <c r="J25" s="7"/>
      <c r="K25" s="7"/>
      <c r="L25" s="7"/>
      <c r="M25" s="7"/>
      <c r="N25" s="7" t="s">
        <v>159</v>
      </c>
      <c r="O25" s="7">
        <v>1</v>
      </c>
      <c r="P25" s="7"/>
      <c r="Q25" s="10"/>
      <c r="R25" s="8" t="s">
        <v>119</v>
      </c>
      <c r="S25" s="8" t="s">
        <v>120</v>
      </c>
      <c r="T25" s="7" t="s">
        <v>121</v>
      </c>
      <c r="U25" s="7"/>
      <c r="V25" s="8"/>
      <c r="W25" s="7"/>
      <c r="X25" s="8"/>
      <c r="Y25" s="10"/>
    </row>
    <row r="26" spans="1:25" x14ac:dyDescent="0.3">
      <c r="A26" s="7">
        <v>23</v>
      </c>
      <c r="B26" s="8" t="s">
        <v>190</v>
      </c>
      <c r="C26" s="9" t="s">
        <v>112</v>
      </c>
      <c r="D26" s="9" t="s">
        <v>168</v>
      </c>
      <c r="E26" s="10" t="s">
        <v>191</v>
      </c>
      <c r="F26" s="10" t="s">
        <v>192</v>
      </c>
      <c r="G26" s="7" t="s">
        <v>116</v>
      </c>
      <c r="H26" s="10" t="s">
        <v>117</v>
      </c>
      <c r="I26" s="7"/>
      <c r="J26" s="7"/>
      <c r="K26" s="7"/>
      <c r="L26" s="7"/>
      <c r="M26" s="7"/>
      <c r="N26" s="7" t="s">
        <v>159</v>
      </c>
      <c r="O26" s="7">
        <v>1</v>
      </c>
      <c r="P26" s="7"/>
      <c r="Q26" s="10"/>
      <c r="R26" s="8" t="s">
        <v>180</v>
      </c>
      <c r="S26" s="8" t="s">
        <v>140</v>
      </c>
      <c r="T26" s="7" t="s">
        <v>121</v>
      </c>
      <c r="U26" s="7"/>
      <c r="V26" s="8"/>
      <c r="W26" s="7"/>
      <c r="X26" s="8"/>
      <c r="Y26" s="10"/>
    </row>
    <row r="27" spans="1:25" ht="41.4" x14ac:dyDescent="0.3">
      <c r="A27" s="7">
        <v>24</v>
      </c>
      <c r="B27" s="8" t="s">
        <v>193</v>
      </c>
      <c r="C27" s="9" t="s">
        <v>112</v>
      </c>
      <c r="D27" s="9" t="s">
        <v>168</v>
      </c>
      <c r="E27" s="10" t="s">
        <v>194</v>
      </c>
      <c r="F27" s="10" t="s">
        <v>195</v>
      </c>
      <c r="G27" s="7" t="s">
        <v>116</v>
      </c>
      <c r="H27" s="10" t="s">
        <v>117</v>
      </c>
      <c r="I27" s="7"/>
      <c r="J27" s="7"/>
      <c r="K27" s="7"/>
      <c r="L27" s="7"/>
      <c r="M27" s="7"/>
      <c r="N27" s="7" t="s">
        <v>159</v>
      </c>
      <c r="O27" s="7">
        <v>1</v>
      </c>
      <c r="P27" s="7"/>
      <c r="Q27" s="10"/>
      <c r="R27" s="8" t="s">
        <v>119</v>
      </c>
      <c r="S27" s="8" t="s">
        <v>196</v>
      </c>
      <c r="T27" s="7" t="s">
        <v>121</v>
      </c>
      <c r="U27" s="7"/>
      <c r="V27" s="8"/>
      <c r="W27" s="7"/>
      <c r="X27" s="8"/>
      <c r="Y27" s="10"/>
    </row>
    <row r="28" spans="1:25" ht="27.6" x14ac:dyDescent="0.3">
      <c r="A28" s="7">
        <v>25</v>
      </c>
      <c r="B28" s="8" t="s">
        <v>197</v>
      </c>
      <c r="C28" s="11" t="s">
        <v>198</v>
      </c>
      <c r="D28" s="11" t="s">
        <v>199</v>
      </c>
      <c r="E28" s="10" t="s">
        <v>200</v>
      </c>
      <c r="F28" s="10" t="s">
        <v>201</v>
      </c>
      <c r="G28" s="7" t="s">
        <v>116</v>
      </c>
      <c r="H28" s="10" t="s">
        <v>117</v>
      </c>
      <c r="I28" s="7" t="s">
        <v>118</v>
      </c>
      <c r="J28" s="7"/>
      <c r="K28" s="7"/>
      <c r="L28" s="7"/>
      <c r="M28" s="7"/>
      <c r="N28" s="7" t="s">
        <v>202</v>
      </c>
      <c r="O28" s="7">
        <v>2</v>
      </c>
      <c r="P28" s="7"/>
      <c r="Q28" s="10"/>
      <c r="R28" s="8" t="s">
        <v>119</v>
      </c>
      <c r="S28" s="8" t="s">
        <v>120</v>
      </c>
      <c r="T28" s="7" t="s">
        <v>121</v>
      </c>
      <c r="U28" s="7"/>
      <c r="V28" s="8"/>
      <c r="W28" s="7"/>
      <c r="X28" s="8"/>
      <c r="Y28" s="10"/>
    </row>
    <row r="29" spans="1:25" ht="27.6" x14ac:dyDescent="0.3">
      <c r="A29" s="7">
        <v>26</v>
      </c>
      <c r="B29" s="8" t="s">
        <v>203</v>
      </c>
      <c r="C29" s="11" t="s">
        <v>198</v>
      </c>
      <c r="D29" s="11" t="s">
        <v>199</v>
      </c>
      <c r="E29" s="10" t="s">
        <v>204</v>
      </c>
      <c r="F29" s="10" t="s">
        <v>205</v>
      </c>
      <c r="G29" s="7" t="s">
        <v>116</v>
      </c>
      <c r="H29" s="10" t="s">
        <v>117</v>
      </c>
      <c r="I29" s="7" t="s">
        <v>118</v>
      </c>
      <c r="J29" s="7"/>
      <c r="K29" s="7"/>
      <c r="L29" s="7"/>
      <c r="M29" s="7"/>
      <c r="N29" s="7" t="s">
        <v>202</v>
      </c>
      <c r="O29" s="7">
        <v>2</v>
      </c>
      <c r="P29" s="7"/>
      <c r="Q29" s="10"/>
      <c r="R29" s="8" t="s">
        <v>139</v>
      </c>
      <c r="S29" s="8" t="s">
        <v>140</v>
      </c>
      <c r="T29" s="7" t="s">
        <v>121</v>
      </c>
      <c r="U29" s="7"/>
      <c r="V29" s="8"/>
      <c r="W29" s="7"/>
      <c r="X29" s="8"/>
      <c r="Y29" s="10"/>
    </row>
    <row r="30" spans="1:25" ht="27.6" x14ac:dyDescent="0.3">
      <c r="A30" s="7">
        <v>27</v>
      </c>
      <c r="B30" s="8" t="s">
        <v>206</v>
      </c>
      <c r="C30" s="11" t="s">
        <v>198</v>
      </c>
      <c r="D30" s="11" t="s">
        <v>199</v>
      </c>
      <c r="E30" s="10" t="s">
        <v>207</v>
      </c>
      <c r="F30" s="10" t="s">
        <v>208</v>
      </c>
      <c r="G30" s="7" t="s">
        <v>116</v>
      </c>
      <c r="H30" s="10" t="s">
        <v>117</v>
      </c>
      <c r="I30" s="7" t="s">
        <v>118</v>
      </c>
      <c r="J30" s="7"/>
      <c r="K30" s="7"/>
      <c r="L30" s="7"/>
      <c r="M30" s="7"/>
      <c r="N30" s="7" t="s">
        <v>202</v>
      </c>
      <c r="O30" s="7">
        <v>2</v>
      </c>
      <c r="P30" s="7"/>
      <c r="Q30" s="10"/>
      <c r="R30" s="8" t="s">
        <v>180</v>
      </c>
      <c r="S30" s="8" t="s">
        <v>140</v>
      </c>
      <c r="T30" s="7" t="s">
        <v>121</v>
      </c>
      <c r="U30" s="7"/>
      <c r="V30" s="8"/>
      <c r="W30" s="7"/>
      <c r="X30" s="8"/>
      <c r="Y30" s="10"/>
    </row>
    <row r="31" spans="1:25" ht="27.6" x14ac:dyDescent="0.3">
      <c r="A31" s="7">
        <v>28</v>
      </c>
      <c r="B31" s="8" t="s">
        <v>209</v>
      </c>
      <c r="C31" s="11" t="s">
        <v>198</v>
      </c>
      <c r="D31" s="11" t="s">
        <v>199</v>
      </c>
      <c r="E31" s="10" t="s">
        <v>210</v>
      </c>
      <c r="F31" s="10" t="s">
        <v>211</v>
      </c>
      <c r="G31" s="7" t="s">
        <v>116</v>
      </c>
      <c r="H31" s="10" t="s">
        <v>117</v>
      </c>
      <c r="I31" s="7" t="s">
        <v>118</v>
      </c>
      <c r="J31" s="7"/>
      <c r="K31" s="7"/>
      <c r="L31" s="7"/>
      <c r="M31" s="7"/>
      <c r="N31" s="7" t="s">
        <v>202</v>
      </c>
      <c r="O31" s="7">
        <v>2</v>
      </c>
      <c r="P31" s="7"/>
      <c r="Q31" s="10"/>
      <c r="R31" s="8" t="s">
        <v>119</v>
      </c>
      <c r="S31" s="8" t="s">
        <v>120</v>
      </c>
      <c r="T31" s="7" t="s">
        <v>121</v>
      </c>
      <c r="U31" s="7"/>
      <c r="V31" s="8"/>
      <c r="W31" s="7"/>
      <c r="X31" s="8"/>
      <c r="Y31" s="10"/>
    </row>
    <row r="32" spans="1:25" ht="27.6" x14ac:dyDescent="0.3">
      <c r="A32" s="7">
        <v>29</v>
      </c>
      <c r="B32" s="8" t="s">
        <v>212</v>
      </c>
      <c r="C32" s="11" t="s">
        <v>198</v>
      </c>
      <c r="D32" s="11" t="s">
        <v>213</v>
      </c>
      <c r="E32" s="10" t="s">
        <v>214</v>
      </c>
      <c r="F32" s="10" t="s">
        <v>215</v>
      </c>
      <c r="G32" s="7" t="s">
        <v>216</v>
      </c>
      <c r="H32" s="10" t="s">
        <v>117</v>
      </c>
      <c r="I32" s="7"/>
      <c r="J32" s="7"/>
      <c r="K32" s="7"/>
      <c r="L32" s="7"/>
      <c r="M32" s="7" t="s">
        <v>217</v>
      </c>
      <c r="N32" s="7"/>
      <c r="O32" s="7">
        <v>1</v>
      </c>
      <c r="P32" s="7"/>
      <c r="Q32" s="10"/>
      <c r="R32" s="8" t="s">
        <v>119</v>
      </c>
      <c r="S32" s="8" t="s">
        <v>196</v>
      </c>
      <c r="T32" s="7" t="s">
        <v>218</v>
      </c>
      <c r="U32" s="7"/>
      <c r="V32" s="8"/>
      <c r="W32" s="7"/>
      <c r="X32" s="8"/>
      <c r="Y32" s="10"/>
    </row>
    <row r="33" spans="1:25" ht="27.6" x14ac:dyDescent="0.3">
      <c r="A33" s="7">
        <v>30</v>
      </c>
      <c r="B33" s="8" t="s">
        <v>219</v>
      </c>
      <c r="C33" s="11" t="s">
        <v>198</v>
      </c>
      <c r="D33" s="11" t="s">
        <v>213</v>
      </c>
      <c r="E33" s="10" t="s">
        <v>220</v>
      </c>
      <c r="F33" s="10" t="s">
        <v>221</v>
      </c>
      <c r="G33" s="7" t="s">
        <v>216</v>
      </c>
      <c r="H33" s="10" t="s">
        <v>117</v>
      </c>
      <c r="I33" s="7"/>
      <c r="J33" s="7"/>
      <c r="K33" s="7"/>
      <c r="L33" s="7"/>
      <c r="M33" s="7" t="s">
        <v>217</v>
      </c>
      <c r="N33" s="7"/>
      <c r="O33" s="7">
        <v>1</v>
      </c>
      <c r="P33" s="7"/>
      <c r="Q33" s="10"/>
      <c r="R33" s="8" t="s">
        <v>119</v>
      </c>
      <c r="S33" s="8" t="s">
        <v>196</v>
      </c>
      <c r="T33" s="7" t="s">
        <v>218</v>
      </c>
      <c r="U33" s="7"/>
      <c r="V33" s="8"/>
      <c r="W33" s="7"/>
      <c r="X33" s="8"/>
      <c r="Y33" s="10"/>
    </row>
    <row r="34" spans="1:25" ht="27.6" x14ac:dyDescent="0.3">
      <c r="A34" s="7">
        <v>31</v>
      </c>
      <c r="B34" s="8" t="s">
        <v>222</v>
      </c>
      <c r="C34" s="11" t="s">
        <v>198</v>
      </c>
      <c r="D34" s="11" t="s">
        <v>213</v>
      </c>
      <c r="E34" s="10" t="s">
        <v>223</v>
      </c>
      <c r="F34" s="10" t="s">
        <v>224</v>
      </c>
      <c r="G34" s="7" t="s">
        <v>216</v>
      </c>
      <c r="H34" s="10" t="s">
        <v>117</v>
      </c>
      <c r="I34" s="7"/>
      <c r="J34" s="7"/>
      <c r="K34" s="7"/>
      <c r="L34" s="7"/>
      <c r="M34" s="7" t="s">
        <v>217</v>
      </c>
      <c r="N34" s="7"/>
      <c r="O34" s="7">
        <v>1</v>
      </c>
      <c r="P34" s="7"/>
      <c r="Q34" s="10"/>
      <c r="R34" s="8" t="s">
        <v>119</v>
      </c>
      <c r="S34" s="8" t="s">
        <v>120</v>
      </c>
      <c r="T34" s="7" t="s">
        <v>218</v>
      </c>
      <c r="U34" s="7"/>
      <c r="V34" s="8"/>
      <c r="W34" s="7"/>
      <c r="X34" s="8"/>
      <c r="Y34" s="10"/>
    </row>
    <row r="35" spans="1:25" ht="27.6" x14ac:dyDescent="0.3">
      <c r="A35" s="7">
        <v>32</v>
      </c>
      <c r="B35" s="8" t="s">
        <v>225</v>
      </c>
      <c r="C35" s="11" t="s">
        <v>198</v>
      </c>
      <c r="D35" s="11" t="s">
        <v>213</v>
      </c>
      <c r="E35" s="10" t="s">
        <v>226</v>
      </c>
      <c r="F35" s="10" t="s">
        <v>227</v>
      </c>
      <c r="G35" s="7" t="s">
        <v>216</v>
      </c>
      <c r="H35" s="10" t="s">
        <v>117</v>
      </c>
      <c r="I35" s="7"/>
      <c r="J35" s="7"/>
      <c r="K35" s="7"/>
      <c r="L35" s="7"/>
      <c r="M35" s="7" t="s">
        <v>217</v>
      </c>
      <c r="N35" s="7"/>
      <c r="O35" s="7">
        <v>1</v>
      </c>
      <c r="P35" s="7"/>
      <c r="Q35" s="10"/>
      <c r="R35" s="8" t="s">
        <v>119</v>
      </c>
      <c r="S35" s="8" t="s">
        <v>196</v>
      </c>
      <c r="T35" s="7" t="s">
        <v>218</v>
      </c>
      <c r="U35" s="7"/>
      <c r="V35" s="8"/>
      <c r="W35" s="7"/>
      <c r="X35" s="8"/>
      <c r="Y35" s="10"/>
    </row>
    <row r="36" spans="1:25" ht="27.6" x14ac:dyDescent="0.3">
      <c r="A36" s="7">
        <v>33</v>
      </c>
      <c r="B36" s="8" t="s">
        <v>228</v>
      </c>
      <c r="C36" s="11" t="s">
        <v>198</v>
      </c>
      <c r="D36" s="11" t="s">
        <v>213</v>
      </c>
      <c r="E36" s="10" t="s">
        <v>229</v>
      </c>
      <c r="F36" s="10" t="s">
        <v>230</v>
      </c>
      <c r="G36" s="7" t="s">
        <v>216</v>
      </c>
      <c r="H36" s="10" t="s">
        <v>117</v>
      </c>
      <c r="I36" s="7"/>
      <c r="J36" s="7"/>
      <c r="K36" s="7"/>
      <c r="L36" s="7"/>
      <c r="M36" s="7" t="s">
        <v>217</v>
      </c>
      <c r="N36" s="7"/>
      <c r="O36" s="7">
        <v>1</v>
      </c>
      <c r="P36" s="7"/>
      <c r="Q36" s="10"/>
      <c r="R36" s="8" t="s">
        <v>119</v>
      </c>
      <c r="S36" s="8" t="s">
        <v>196</v>
      </c>
      <c r="T36" s="7" t="s">
        <v>218</v>
      </c>
      <c r="U36" s="7"/>
      <c r="V36" s="8"/>
      <c r="W36" s="7"/>
      <c r="X36" s="8"/>
      <c r="Y36" s="10"/>
    </row>
    <row r="37" spans="1:25" ht="27.6" x14ac:dyDescent="0.3">
      <c r="A37" s="7">
        <v>34</v>
      </c>
      <c r="B37" s="8" t="s">
        <v>231</v>
      </c>
      <c r="C37" s="11" t="s">
        <v>198</v>
      </c>
      <c r="D37" s="11" t="s">
        <v>213</v>
      </c>
      <c r="E37" s="10" t="s">
        <v>232</v>
      </c>
      <c r="F37" s="10" t="s">
        <v>233</v>
      </c>
      <c r="G37" s="7" t="s">
        <v>216</v>
      </c>
      <c r="H37" s="10" t="s">
        <v>117</v>
      </c>
      <c r="I37" s="7"/>
      <c r="J37" s="7"/>
      <c r="K37" s="7"/>
      <c r="L37" s="7"/>
      <c r="M37" s="7" t="s">
        <v>217</v>
      </c>
      <c r="N37" s="7"/>
      <c r="O37" s="7">
        <v>1</v>
      </c>
      <c r="P37" s="7"/>
      <c r="Q37" s="10"/>
      <c r="R37" s="8" t="s">
        <v>119</v>
      </c>
      <c r="S37" s="8" t="s">
        <v>196</v>
      </c>
      <c r="T37" s="7" t="s">
        <v>218</v>
      </c>
      <c r="U37" s="7"/>
      <c r="V37" s="8"/>
      <c r="W37" s="7"/>
      <c r="X37" s="8"/>
      <c r="Y37" s="10"/>
    </row>
    <row r="38" spans="1:25" ht="27.6" x14ac:dyDescent="0.3">
      <c r="A38" s="7">
        <v>35</v>
      </c>
      <c r="B38" s="8" t="s">
        <v>234</v>
      </c>
      <c r="C38" s="11" t="s">
        <v>198</v>
      </c>
      <c r="D38" s="11" t="s">
        <v>213</v>
      </c>
      <c r="E38" s="10" t="s">
        <v>235</v>
      </c>
      <c r="F38" s="10" t="s">
        <v>236</v>
      </c>
      <c r="G38" s="7" t="s">
        <v>216</v>
      </c>
      <c r="H38" s="10" t="s">
        <v>117</v>
      </c>
      <c r="I38" s="7"/>
      <c r="J38" s="7"/>
      <c r="K38" s="7"/>
      <c r="L38" s="7"/>
      <c r="M38" s="7" t="s">
        <v>217</v>
      </c>
      <c r="N38" s="7"/>
      <c r="O38" s="7">
        <v>1</v>
      </c>
      <c r="P38" s="7"/>
      <c r="Q38" s="10"/>
      <c r="R38" s="8" t="s">
        <v>119</v>
      </c>
      <c r="S38" s="8" t="s">
        <v>196</v>
      </c>
      <c r="T38" s="7" t="s">
        <v>218</v>
      </c>
      <c r="U38" s="7"/>
      <c r="V38" s="8"/>
      <c r="W38" s="7"/>
      <c r="X38" s="8"/>
      <c r="Y38" s="10"/>
    </row>
    <row r="39" spans="1:25" ht="27.6" x14ac:dyDescent="0.3">
      <c r="A39" s="7">
        <v>36</v>
      </c>
      <c r="B39" s="8" t="s">
        <v>237</v>
      </c>
      <c r="C39" s="11" t="s">
        <v>198</v>
      </c>
      <c r="D39" s="11" t="s">
        <v>213</v>
      </c>
      <c r="E39" s="10" t="s">
        <v>238</v>
      </c>
      <c r="F39" s="10" t="s">
        <v>239</v>
      </c>
      <c r="G39" s="7" t="s">
        <v>216</v>
      </c>
      <c r="H39" s="10" t="s">
        <v>117</v>
      </c>
      <c r="I39" s="7"/>
      <c r="J39" s="7"/>
      <c r="K39" s="7"/>
      <c r="L39" s="7"/>
      <c r="M39" s="7" t="s">
        <v>217</v>
      </c>
      <c r="N39" s="7"/>
      <c r="O39" s="7">
        <v>1</v>
      </c>
      <c r="P39" s="7"/>
      <c r="Q39" s="10"/>
      <c r="R39" s="8" t="s">
        <v>119</v>
      </c>
      <c r="S39" s="8" t="s">
        <v>196</v>
      </c>
      <c r="T39" s="7" t="s">
        <v>218</v>
      </c>
      <c r="U39" s="7"/>
      <c r="V39" s="8"/>
      <c r="W39" s="7"/>
      <c r="X39" s="8"/>
      <c r="Y39" s="10"/>
    </row>
    <row r="40" spans="1:25" ht="27.6" x14ac:dyDescent="0.3">
      <c r="A40" s="7">
        <v>37</v>
      </c>
      <c r="B40" s="8" t="s">
        <v>240</v>
      </c>
      <c r="C40" s="11" t="s">
        <v>198</v>
      </c>
      <c r="D40" s="11" t="s">
        <v>213</v>
      </c>
      <c r="E40" s="10" t="s">
        <v>241</v>
      </c>
      <c r="F40" s="10" t="s">
        <v>242</v>
      </c>
      <c r="G40" s="7" t="s">
        <v>216</v>
      </c>
      <c r="H40" s="10" t="s">
        <v>117</v>
      </c>
      <c r="I40" s="7"/>
      <c r="J40" s="7"/>
      <c r="K40" s="7"/>
      <c r="L40" s="7"/>
      <c r="M40" s="7" t="s">
        <v>217</v>
      </c>
      <c r="N40" s="7"/>
      <c r="O40" s="7">
        <v>1</v>
      </c>
      <c r="P40" s="7"/>
      <c r="Q40" s="10"/>
      <c r="R40" s="8" t="s">
        <v>119</v>
      </c>
      <c r="S40" s="8" t="s">
        <v>196</v>
      </c>
      <c r="T40" s="7" t="s">
        <v>218</v>
      </c>
      <c r="U40" s="7"/>
      <c r="V40" s="8"/>
      <c r="W40" s="7"/>
      <c r="X40" s="8"/>
      <c r="Y40" s="10"/>
    </row>
    <row r="41" spans="1:25" ht="27.6" x14ac:dyDescent="0.3">
      <c r="A41" s="7">
        <v>38</v>
      </c>
      <c r="B41" s="8" t="s">
        <v>243</v>
      </c>
      <c r="C41" s="11" t="s">
        <v>198</v>
      </c>
      <c r="D41" s="11" t="s">
        <v>213</v>
      </c>
      <c r="E41" s="10" t="s">
        <v>244</v>
      </c>
      <c r="F41" s="10" t="s">
        <v>245</v>
      </c>
      <c r="G41" s="7" t="s">
        <v>216</v>
      </c>
      <c r="H41" s="10" t="s">
        <v>117</v>
      </c>
      <c r="I41" s="7"/>
      <c r="J41" s="7"/>
      <c r="K41" s="7"/>
      <c r="L41" s="7"/>
      <c r="M41" s="7" t="s">
        <v>217</v>
      </c>
      <c r="N41" s="7"/>
      <c r="O41" s="7">
        <v>1</v>
      </c>
      <c r="P41" s="7"/>
      <c r="Q41" s="10"/>
      <c r="R41" s="8" t="s">
        <v>119</v>
      </c>
      <c r="S41" s="8" t="s">
        <v>120</v>
      </c>
      <c r="T41" s="7" t="s">
        <v>218</v>
      </c>
      <c r="U41" s="7"/>
      <c r="V41" s="8"/>
      <c r="W41" s="7"/>
      <c r="X41" s="8"/>
      <c r="Y41" s="10"/>
    </row>
    <row r="42" spans="1:25" ht="27.6" x14ac:dyDescent="0.3">
      <c r="A42" s="7">
        <v>39</v>
      </c>
      <c r="B42" s="8" t="s">
        <v>246</v>
      </c>
      <c r="C42" s="11" t="s">
        <v>198</v>
      </c>
      <c r="D42" s="11" t="s">
        <v>213</v>
      </c>
      <c r="E42" s="10" t="s">
        <v>247</v>
      </c>
      <c r="F42" s="10" t="s">
        <v>248</v>
      </c>
      <c r="G42" s="7" t="s">
        <v>216</v>
      </c>
      <c r="H42" s="10" t="s">
        <v>117</v>
      </c>
      <c r="I42" s="7"/>
      <c r="J42" s="7"/>
      <c r="K42" s="7"/>
      <c r="L42" s="7"/>
      <c r="M42" s="7" t="s">
        <v>217</v>
      </c>
      <c r="N42" s="7"/>
      <c r="O42" s="7">
        <v>1</v>
      </c>
      <c r="P42" s="7"/>
      <c r="Q42" s="10"/>
      <c r="R42" s="8" t="s">
        <v>119</v>
      </c>
      <c r="S42" s="8" t="s">
        <v>120</v>
      </c>
      <c r="T42" s="7" t="s">
        <v>218</v>
      </c>
      <c r="U42" s="7"/>
      <c r="V42" s="8"/>
      <c r="W42" s="7"/>
      <c r="X42" s="8"/>
      <c r="Y42" s="10"/>
    </row>
    <row r="43" spans="1:25" ht="41.4" x14ac:dyDescent="0.3">
      <c r="A43" s="7">
        <v>40</v>
      </c>
      <c r="B43" s="12" t="s">
        <v>249</v>
      </c>
      <c r="C43" s="13" t="s">
        <v>250</v>
      </c>
      <c r="D43" s="13" t="s">
        <v>251</v>
      </c>
      <c r="E43" s="10" t="s">
        <v>252</v>
      </c>
      <c r="F43" s="10" t="s">
        <v>253</v>
      </c>
      <c r="G43" s="7" t="s">
        <v>116</v>
      </c>
      <c r="H43" s="14" t="s">
        <v>254</v>
      </c>
      <c r="I43" s="7"/>
      <c r="J43" s="7"/>
      <c r="K43" s="7"/>
      <c r="L43" s="7"/>
      <c r="M43" s="7"/>
      <c r="N43" s="7"/>
      <c r="O43" s="7"/>
      <c r="P43" s="7">
        <v>1</v>
      </c>
      <c r="Q43" s="10"/>
      <c r="R43" s="8" t="s">
        <v>180</v>
      </c>
      <c r="S43" s="8" t="s">
        <v>140</v>
      </c>
      <c r="T43" s="7" t="s">
        <v>121</v>
      </c>
      <c r="U43" s="7"/>
      <c r="V43" s="8"/>
      <c r="W43" s="7"/>
      <c r="X43" s="8"/>
      <c r="Y43" s="10" t="s">
        <v>255</v>
      </c>
    </row>
    <row r="44" spans="1:25" ht="41.4" x14ac:dyDescent="0.3">
      <c r="A44" s="7">
        <v>41</v>
      </c>
      <c r="B44" s="12" t="s">
        <v>256</v>
      </c>
      <c r="C44" s="13" t="s">
        <v>250</v>
      </c>
      <c r="D44" s="13" t="s">
        <v>251</v>
      </c>
      <c r="E44" s="10" t="s">
        <v>257</v>
      </c>
      <c r="F44" s="10" t="s">
        <v>258</v>
      </c>
      <c r="G44" s="7" t="s">
        <v>216</v>
      </c>
      <c r="H44" s="14" t="s">
        <v>254</v>
      </c>
      <c r="I44" s="7"/>
      <c r="J44" s="7"/>
      <c r="K44" s="7"/>
      <c r="L44" s="7"/>
      <c r="M44" s="7"/>
      <c r="N44" s="7"/>
      <c r="O44" s="7"/>
      <c r="P44" s="7">
        <v>2</v>
      </c>
      <c r="Q44" s="10"/>
      <c r="R44" s="8" t="s">
        <v>180</v>
      </c>
      <c r="S44" s="8" t="s">
        <v>140</v>
      </c>
      <c r="T44" s="7" t="s">
        <v>218</v>
      </c>
      <c r="U44" s="7"/>
      <c r="V44" s="8"/>
      <c r="W44" s="7"/>
      <c r="X44" s="8"/>
      <c r="Y44" s="10" t="s">
        <v>255</v>
      </c>
    </row>
    <row r="45" spans="1:25" ht="27.6" x14ac:dyDescent="0.3">
      <c r="A45" s="7">
        <v>42</v>
      </c>
      <c r="B45" s="12" t="s">
        <v>259</v>
      </c>
      <c r="C45" s="13" t="s">
        <v>250</v>
      </c>
      <c r="D45" s="13" t="s">
        <v>260</v>
      </c>
      <c r="E45" s="10" t="s">
        <v>261</v>
      </c>
      <c r="F45" s="10" t="s">
        <v>262</v>
      </c>
      <c r="G45" s="7" t="s">
        <v>116</v>
      </c>
      <c r="H45" s="10" t="s">
        <v>263</v>
      </c>
      <c r="I45" s="7"/>
      <c r="J45" s="7"/>
      <c r="K45" s="7"/>
      <c r="L45" s="7"/>
      <c r="M45" s="7"/>
      <c r="N45" s="7"/>
      <c r="O45" s="7"/>
      <c r="P45" s="7">
        <v>3</v>
      </c>
      <c r="Q45" s="10" t="s">
        <v>264</v>
      </c>
      <c r="R45" s="8" t="s">
        <v>180</v>
      </c>
      <c r="S45" s="8" t="s">
        <v>140</v>
      </c>
      <c r="T45" s="7" t="s">
        <v>121</v>
      </c>
      <c r="U45" s="7"/>
      <c r="V45" s="8"/>
      <c r="W45" s="7"/>
      <c r="X45" s="8"/>
      <c r="Y45" s="10" t="s">
        <v>265</v>
      </c>
    </row>
    <row r="46" spans="1:25" ht="27.6" x14ac:dyDescent="0.3">
      <c r="A46" s="7">
        <v>43</v>
      </c>
      <c r="B46" s="12" t="s">
        <v>266</v>
      </c>
      <c r="C46" s="13" t="s">
        <v>250</v>
      </c>
      <c r="D46" s="13" t="s">
        <v>260</v>
      </c>
      <c r="E46" s="10" t="s">
        <v>267</v>
      </c>
      <c r="F46" s="10" t="s">
        <v>268</v>
      </c>
      <c r="G46" s="7" t="s">
        <v>116</v>
      </c>
      <c r="H46" s="10" t="s">
        <v>269</v>
      </c>
      <c r="I46" s="7"/>
      <c r="J46" s="7"/>
      <c r="K46" s="7"/>
      <c r="L46" s="7"/>
      <c r="M46" s="7"/>
      <c r="N46" s="7"/>
      <c r="O46" s="7"/>
      <c r="P46" s="7">
        <v>4</v>
      </c>
      <c r="Q46" s="10" t="s">
        <v>264</v>
      </c>
      <c r="R46" s="8" t="s">
        <v>270</v>
      </c>
      <c r="S46" s="8" t="s">
        <v>140</v>
      </c>
      <c r="T46" s="7" t="s">
        <v>121</v>
      </c>
      <c r="U46" s="7"/>
      <c r="V46" s="8"/>
      <c r="W46" s="7"/>
      <c r="X46" s="8"/>
      <c r="Y46" s="10" t="s">
        <v>265</v>
      </c>
    </row>
    <row r="47" spans="1:25" ht="27.6" x14ac:dyDescent="0.3">
      <c r="A47" s="7">
        <v>44</v>
      </c>
      <c r="B47" s="12" t="s">
        <v>271</v>
      </c>
      <c r="C47" s="13" t="s">
        <v>250</v>
      </c>
      <c r="D47" s="13" t="s">
        <v>260</v>
      </c>
      <c r="E47" s="10" t="s">
        <v>272</v>
      </c>
      <c r="F47" s="10" t="s">
        <v>273</v>
      </c>
      <c r="G47" s="7" t="s">
        <v>116</v>
      </c>
      <c r="H47" s="10" t="s">
        <v>263</v>
      </c>
      <c r="I47" s="7"/>
      <c r="J47" s="7"/>
      <c r="K47" s="7"/>
      <c r="L47" s="7"/>
      <c r="M47" s="7"/>
      <c r="N47" s="7"/>
      <c r="O47" s="7"/>
      <c r="P47" s="7">
        <v>7</v>
      </c>
      <c r="Q47" s="10" t="s">
        <v>264</v>
      </c>
      <c r="R47" s="8" t="s">
        <v>270</v>
      </c>
      <c r="S47" s="8" t="s">
        <v>140</v>
      </c>
      <c r="T47" s="7" t="s">
        <v>121</v>
      </c>
      <c r="U47" s="7"/>
      <c r="V47" s="8"/>
      <c r="W47" s="7"/>
      <c r="X47" s="8"/>
      <c r="Y47" s="10" t="s">
        <v>265</v>
      </c>
    </row>
    <row r="48" spans="1:25" ht="27.6" x14ac:dyDescent="0.3">
      <c r="A48" s="7">
        <v>45</v>
      </c>
      <c r="B48" s="12" t="s">
        <v>274</v>
      </c>
      <c r="C48" s="13" t="s">
        <v>250</v>
      </c>
      <c r="D48" s="13" t="s">
        <v>260</v>
      </c>
      <c r="E48" s="10" t="s">
        <v>275</v>
      </c>
      <c r="F48" s="10" t="s">
        <v>276</v>
      </c>
      <c r="G48" s="7" t="s">
        <v>216</v>
      </c>
      <c r="H48" s="10" t="s">
        <v>269</v>
      </c>
      <c r="I48" s="7"/>
      <c r="J48" s="7"/>
      <c r="K48" s="7"/>
      <c r="L48" s="7"/>
      <c r="M48" s="7"/>
      <c r="N48" s="7"/>
      <c r="O48" s="7"/>
      <c r="P48" s="7">
        <v>8</v>
      </c>
      <c r="Q48" s="10" t="s">
        <v>264</v>
      </c>
      <c r="R48" s="8" t="s">
        <v>277</v>
      </c>
      <c r="S48" s="8" t="s">
        <v>140</v>
      </c>
      <c r="T48" s="7" t="s">
        <v>218</v>
      </c>
      <c r="U48" s="7"/>
      <c r="V48" s="8"/>
      <c r="W48" s="7"/>
      <c r="X48" s="8"/>
      <c r="Y48" s="10" t="s">
        <v>265</v>
      </c>
    </row>
    <row r="49" spans="1:25" ht="27.6" x14ac:dyDescent="0.3">
      <c r="A49" s="7">
        <v>46</v>
      </c>
      <c r="B49" s="12" t="s">
        <v>278</v>
      </c>
      <c r="C49" s="13" t="s">
        <v>250</v>
      </c>
      <c r="D49" s="13" t="s">
        <v>260</v>
      </c>
      <c r="E49" s="10" t="s">
        <v>279</v>
      </c>
      <c r="F49" s="10" t="s">
        <v>280</v>
      </c>
      <c r="G49" s="7" t="s">
        <v>216</v>
      </c>
      <c r="H49" s="10" t="s">
        <v>269</v>
      </c>
      <c r="I49" s="7"/>
      <c r="J49" s="7"/>
      <c r="K49" s="7"/>
      <c r="L49" s="7"/>
      <c r="M49" s="7"/>
      <c r="N49" s="7"/>
      <c r="O49" s="7"/>
      <c r="P49" s="7">
        <v>9</v>
      </c>
      <c r="Q49" s="10" t="s">
        <v>264</v>
      </c>
      <c r="R49" s="8" t="s">
        <v>270</v>
      </c>
      <c r="S49" s="8" t="s">
        <v>140</v>
      </c>
      <c r="T49" s="7" t="s">
        <v>218</v>
      </c>
      <c r="U49" s="7"/>
      <c r="V49" s="8"/>
      <c r="W49" s="7"/>
      <c r="X49" s="8"/>
      <c r="Y49" s="10" t="s">
        <v>265</v>
      </c>
    </row>
    <row r="50" spans="1:25" ht="27.6" x14ac:dyDescent="0.3">
      <c r="A50" s="7">
        <v>47</v>
      </c>
      <c r="B50" s="8" t="s">
        <v>264</v>
      </c>
      <c r="C50" s="13" t="s">
        <v>250</v>
      </c>
      <c r="D50" s="13" t="s">
        <v>260</v>
      </c>
      <c r="E50" s="10" t="s">
        <v>281</v>
      </c>
      <c r="F50" s="10" t="s">
        <v>282</v>
      </c>
      <c r="G50" s="7" t="s">
        <v>116</v>
      </c>
      <c r="H50" s="10" t="s">
        <v>117</v>
      </c>
      <c r="I50" s="7" t="s">
        <v>202</v>
      </c>
      <c r="J50" s="7"/>
      <c r="K50" s="7" t="s">
        <v>283</v>
      </c>
      <c r="L50" s="7" t="s">
        <v>283</v>
      </c>
      <c r="M50" s="7" t="s">
        <v>283</v>
      </c>
      <c r="N50" s="7" t="s">
        <v>284</v>
      </c>
      <c r="O50" s="7">
        <v>5</v>
      </c>
      <c r="P50" s="7"/>
      <c r="Q50" s="10"/>
      <c r="R50" s="8" t="s">
        <v>270</v>
      </c>
      <c r="S50" s="8" t="s">
        <v>140</v>
      </c>
      <c r="T50" s="7" t="s">
        <v>121</v>
      </c>
      <c r="U50" s="7"/>
      <c r="V50" s="8"/>
      <c r="W50" s="7"/>
      <c r="X50" s="8"/>
      <c r="Y50" s="10"/>
    </row>
    <row r="51" spans="1:25" ht="27.6" x14ac:dyDescent="0.3">
      <c r="A51" s="7">
        <v>48</v>
      </c>
      <c r="B51" s="12" t="s">
        <v>285</v>
      </c>
      <c r="C51" s="13" t="s">
        <v>250</v>
      </c>
      <c r="D51" s="13" t="s">
        <v>286</v>
      </c>
      <c r="E51" s="10" t="s">
        <v>287</v>
      </c>
      <c r="F51" s="10" t="s">
        <v>288</v>
      </c>
      <c r="G51" s="7" t="s">
        <v>216</v>
      </c>
      <c r="H51" s="10" t="s">
        <v>263</v>
      </c>
      <c r="I51" s="7"/>
      <c r="J51" s="7"/>
      <c r="K51" s="7"/>
      <c r="L51" s="7"/>
      <c r="M51" s="7"/>
      <c r="N51" s="7"/>
      <c r="O51" s="7"/>
      <c r="P51" s="7">
        <v>11</v>
      </c>
      <c r="Q51" s="10" t="s">
        <v>289</v>
      </c>
      <c r="R51" s="8" t="s">
        <v>180</v>
      </c>
      <c r="S51" s="8" t="s">
        <v>140</v>
      </c>
      <c r="T51" s="7" t="s">
        <v>218</v>
      </c>
      <c r="U51" s="7"/>
      <c r="V51" s="8"/>
      <c r="W51" s="7"/>
      <c r="X51" s="8"/>
      <c r="Y51" s="10" t="s">
        <v>290</v>
      </c>
    </row>
    <row r="52" spans="1:25" ht="41.4" x14ac:dyDescent="0.3">
      <c r="A52" s="7">
        <v>49</v>
      </c>
      <c r="B52" s="12" t="s">
        <v>291</v>
      </c>
      <c r="C52" s="13" t="s">
        <v>250</v>
      </c>
      <c r="D52" s="13" t="s">
        <v>286</v>
      </c>
      <c r="E52" s="10" t="s">
        <v>292</v>
      </c>
      <c r="F52" s="10" t="s">
        <v>293</v>
      </c>
      <c r="G52" s="7" t="s">
        <v>216</v>
      </c>
      <c r="H52" s="10" t="s">
        <v>263</v>
      </c>
      <c r="I52" s="7"/>
      <c r="J52" s="7"/>
      <c r="K52" s="7"/>
      <c r="L52" s="7"/>
      <c r="M52" s="7"/>
      <c r="N52" s="7"/>
      <c r="O52" s="7"/>
      <c r="P52" s="7">
        <v>12</v>
      </c>
      <c r="Q52" s="10" t="s">
        <v>294</v>
      </c>
      <c r="R52" s="8" t="s">
        <v>277</v>
      </c>
      <c r="S52" s="8" t="s">
        <v>140</v>
      </c>
      <c r="T52" s="7" t="s">
        <v>218</v>
      </c>
      <c r="U52" s="7"/>
      <c r="V52" s="8"/>
      <c r="W52" s="7"/>
      <c r="X52" s="8"/>
      <c r="Y52" s="10" t="s">
        <v>295</v>
      </c>
    </row>
    <row r="53" spans="1:25" ht="27.6" x14ac:dyDescent="0.3">
      <c r="A53" s="7">
        <v>50</v>
      </c>
      <c r="B53" s="12" t="s">
        <v>296</v>
      </c>
      <c r="C53" s="13" t="s">
        <v>250</v>
      </c>
      <c r="D53" s="13" t="s">
        <v>286</v>
      </c>
      <c r="E53" s="10" t="s">
        <v>297</v>
      </c>
      <c r="F53" s="10" t="s">
        <v>298</v>
      </c>
      <c r="G53" s="7" t="s">
        <v>216</v>
      </c>
      <c r="H53" s="10" t="s">
        <v>269</v>
      </c>
      <c r="I53" s="7"/>
      <c r="J53" s="7"/>
      <c r="K53" s="7"/>
      <c r="L53" s="7"/>
      <c r="M53" s="7"/>
      <c r="N53" s="7"/>
      <c r="O53" s="7"/>
      <c r="P53" s="7">
        <v>13</v>
      </c>
      <c r="Q53" s="10" t="s">
        <v>294</v>
      </c>
      <c r="R53" s="8" t="s">
        <v>277</v>
      </c>
      <c r="S53" s="8" t="s">
        <v>140</v>
      </c>
      <c r="T53" s="7" t="s">
        <v>218</v>
      </c>
      <c r="U53" s="7"/>
      <c r="V53" s="8"/>
      <c r="W53" s="7"/>
      <c r="X53" s="8"/>
      <c r="Y53" s="10" t="s">
        <v>295</v>
      </c>
    </row>
    <row r="54" spans="1:25" x14ac:dyDescent="0.3">
      <c r="A54" s="7">
        <v>51</v>
      </c>
      <c r="B54" s="8" t="s">
        <v>289</v>
      </c>
      <c r="C54" s="13" t="s">
        <v>250</v>
      </c>
      <c r="D54" s="13" t="s">
        <v>286</v>
      </c>
      <c r="E54" s="10" t="s">
        <v>299</v>
      </c>
      <c r="F54" s="10" t="s">
        <v>300</v>
      </c>
      <c r="G54" s="7" t="s">
        <v>216</v>
      </c>
      <c r="H54" s="10" t="s">
        <v>117</v>
      </c>
      <c r="I54" s="7" t="s">
        <v>202</v>
      </c>
      <c r="J54" s="7"/>
      <c r="K54" s="7" t="s">
        <v>283</v>
      </c>
      <c r="L54" s="7" t="s">
        <v>283</v>
      </c>
      <c r="M54" s="7" t="s">
        <v>283</v>
      </c>
      <c r="N54" s="7" t="s">
        <v>284</v>
      </c>
      <c r="O54" s="7">
        <v>5</v>
      </c>
      <c r="P54" s="7"/>
      <c r="Q54" s="10"/>
      <c r="R54" s="8" t="s">
        <v>277</v>
      </c>
      <c r="S54" s="8" t="s">
        <v>140</v>
      </c>
      <c r="T54" s="7" t="s">
        <v>218</v>
      </c>
      <c r="U54" s="7"/>
      <c r="V54" s="8"/>
      <c r="W54" s="7"/>
      <c r="X54" s="8"/>
      <c r="Y54" s="10"/>
    </row>
    <row r="55" spans="1:25" ht="27.6" x14ac:dyDescent="0.3">
      <c r="A55" s="7">
        <v>52</v>
      </c>
      <c r="B55" s="8" t="s">
        <v>294</v>
      </c>
      <c r="C55" s="13" t="s">
        <v>250</v>
      </c>
      <c r="D55" s="13" t="s">
        <v>286</v>
      </c>
      <c r="E55" s="10" t="s">
        <v>301</v>
      </c>
      <c r="F55" s="10" t="s">
        <v>302</v>
      </c>
      <c r="G55" s="7" t="s">
        <v>216</v>
      </c>
      <c r="H55" s="10" t="s">
        <v>117</v>
      </c>
      <c r="I55" s="7"/>
      <c r="J55" s="7" t="s">
        <v>118</v>
      </c>
      <c r="K55" s="7" t="s">
        <v>283</v>
      </c>
      <c r="L55" s="7" t="s">
        <v>283</v>
      </c>
      <c r="M55" s="7" t="s">
        <v>283</v>
      </c>
      <c r="N55" s="7" t="s">
        <v>284</v>
      </c>
      <c r="O55" s="7">
        <v>5</v>
      </c>
      <c r="P55" s="7"/>
      <c r="Q55" s="10"/>
      <c r="R55" s="8" t="s">
        <v>277</v>
      </c>
      <c r="S55" s="8" t="s">
        <v>140</v>
      </c>
      <c r="T55" s="7" t="s">
        <v>218</v>
      </c>
      <c r="U55" s="7"/>
      <c r="V55" s="8"/>
      <c r="W55" s="7"/>
      <c r="X55" s="8"/>
      <c r="Y55" s="10"/>
    </row>
    <row r="56" spans="1:25" ht="41.4" x14ac:dyDescent="0.3">
      <c r="A56" s="7">
        <v>53</v>
      </c>
      <c r="B56" s="12" t="s">
        <v>303</v>
      </c>
      <c r="C56" s="13" t="s">
        <v>250</v>
      </c>
      <c r="D56" s="13" t="s">
        <v>304</v>
      </c>
      <c r="E56" s="10" t="s">
        <v>305</v>
      </c>
      <c r="F56" s="10" t="s">
        <v>306</v>
      </c>
      <c r="G56" s="7" t="s">
        <v>216</v>
      </c>
      <c r="H56" s="14" t="s">
        <v>254</v>
      </c>
      <c r="I56" s="7"/>
      <c r="J56" s="7"/>
      <c r="K56" s="7"/>
      <c r="L56" s="7"/>
      <c r="M56" s="7"/>
      <c r="N56" s="7"/>
      <c r="O56" s="7"/>
      <c r="P56" s="7">
        <v>5</v>
      </c>
      <c r="Q56" s="10"/>
      <c r="R56" s="8" t="s">
        <v>270</v>
      </c>
      <c r="S56" s="8" t="s">
        <v>140</v>
      </c>
      <c r="T56" s="7" t="s">
        <v>218</v>
      </c>
      <c r="U56" s="7"/>
      <c r="V56" s="8"/>
      <c r="W56" s="7"/>
      <c r="X56" s="8"/>
      <c r="Y56" s="10" t="s">
        <v>255</v>
      </c>
    </row>
    <row r="57" spans="1:25" ht="27.6" x14ac:dyDescent="0.3">
      <c r="A57" s="7">
        <v>54</v>
      </c>
      <c r="B57" s="12" t="s">
        <v>307</v>
      </c>
      <c r="C57" s="13" t="s">
        <v>250</v>
      </c>
      <c r="D57" s="13" t="s">
        <v>304</v>
      </c>
      <c r="E57" s="10" t="s">
        <v>308</v>
      </c>
      <c r="F57" s="10" t="s">
        <v>309</v>
      </c>
      <c r="G57" s="7" t="s">
        <v>216</v>
      </c>
      <c r="H57" s="14" t="s">
        <v>254</v>
      </c>
      <c r="I57" s="7"/>
      <c r="J57" s="7"/>
      <c r="K57" s="7"/>
      <c r="L57" s="7"/>
      <c r="M57" s="7"/>
      <c r="N57" s="7"/>
      <c r="O57" s="7"/>
      <c r="P57" s="7">
        <v>6</v>
      </c>
      <c r="Q57" s="10"/>
      <c r="R57" s="8" t="s">
        <v>270</v>
      </c>
      <c r="S57" s="8" t="s">
        <v>140</v>
      </c>
      <c r="T57" s="7" t="s">
        <v>218</v>
      </c>
      <c r="U57" s="7"/>
      <c r="V57" s="8"/>
      <c r="W57" s="7"/>
      <c r="X57" s="8"/>
      <c r="Y57" s="10" t="s">
        <v>255</v>
      </c>
    </row>
    <row r="58" spans="1:25" ht="27.6" x14ac:dyDescent="0.3">
      <c r="A58" s="7">
        <v>55</v>
      </c>
      <c r="B58" s="12" t="s">
        <v>310</v>
      </c>
      <c r="C58" s="13" t="s">
        <v>250</v>
      </c>
      <c r="D58" s="13" t="s">
        <v>304</v>
      </c>
      <c r="E58" s="10" t="s">
        <v>311</v>
      </c>
      <c r="F58" s="10" t="s">
        <v>312</v>
      </c>
      <c r="G58" s="7" t="s">
        <v>216</v>
      </c>
      <c r="H58" s="14" t="s">
        <v>254</v>
      </c>
      <c r="I58" s="7"/>
      <c r="J58" s="7"/>
      <c r="K58" s="7"/>
      <c r="L58" s="7"/>
      <c r="M58" s="7"/>
      <c r="N58" s="7"/>
      <c r="O58" s="7"/>
      <c r="P58" s="7">
        <v>10</v>
      </c>
      <c r="Q58" s="10"/>
      <c r="R58" s="8" t="s">
        <v>277</v>
      </c>
      <c r="S58" s="8" t="s">
        <v>140</v>
      </c>
      <c r="T58" s="7" t="s">
        <v>218</v>
      </c>
      <c r="U58" s="7"/>
      <c r="V58" s="8"/>
      <c r="W58" s="7"/>
      <c r="X58" s="8"/>
      <c r="Y58" s="10" t="s">
        <v>255</v>
      </c>
    </row>
    <row r="59" spans="1:25" ht="41.4" x14ac:dyDescent="0.3">
      <c r="A59" s="7">
        <v>56</v>
      </c>
      <c r="B59" s="12" t="s">
        <v>313</v>
      </c>
      <c r="C59" s="13" t="s">
        <v>250</v>
      </c>
      <c r="D59" s="13" t="s">
        <v>304</v>
      </c>
      <c r="E59" s="10" t="s">
        <v>314</v>
      </c>
      <c r="F59" s="10" t="s">
        <v>315</v>
      </c>
      <c r="G59" s="7" t="s">
        <v>216</v>
      </c>
      <c r="H59" s="10" t="s">
        <v>269</v>
      </c>
      <c r="I59" s="7"/>
      <c r="J59" s="7"/>
      <c r="K59" s="7"/>
      <c r="L59" s="7"/>
      <c r="M59" s="7"/>
      <c r="N59" s="7"/>
      <c r="O59" s="7"/>
      <c r="P59" s="7">
        <v>14</v>
      </c>
      <c r="Q59" s="10" t="s">
        <v>316</v>
      </c>
      <c r="R59" s="8" t="s">
        <v>317</v>
      </c>
      <c r="S59" s="8" t="s">
        <v>140</v>
      </c>
      <c r="T59" s="7" t="s">
        <v>218</v>
      </c>
      <c r="U59" s="7"/>
      <c r="V59" s="8"/>
      <c r="W59" s="7"/>
      <c r="X59" s="8"/>
      <c r="Y59" s="10" t="s">
        <v>318</v>
      </c>
    </row>
    <row r="60" spans="1:25" ht="27.6" x14ac:dyDescent="0.3">
      <c r="A60" s="7">
        <v>57</v>
      </c>
      <c r="B60" s="12" t="s">
        <v>319</v>
      </c>
      <c r="C60" s="13" t="s">
        <v>250</v>
      </c>
      <c r="D60" s="13" t="s">
        <v>320</v>
      </c>
      <c r="E60" s="10" t="s">
        <v>321</v>
      </c>
      <c r="F60" s="10" t="s">
        <v>322</v>
      </c>
      <c r="G60" s="7" t="s">
        <v>116</v>
      </c>
      <c r="H60" s="14" t="s">
        <v>254</v>
      </c>
      <c r="I60" s="7"/>
      <c r="J60" s="7"/>
      <c r="K60" s="7"/>
      <c r="L60" s="7"/>
      <c r="M60" s="7"/>
      <c r="N60" s="7"/>
      <c r="O60" s="7"/>
      <c r="P60" s="7">
        <v>15</v>
      </c>
      <c r="Q60" s="10"/>
      <c r="R60" s="8" t="s">
        <v>180</v>
      </c>
      <c r="S60" s="8" t="s">
        <v>140</v>
      </c>
      <c r="T60" s="7" t="s">
        <v>121</v>
      </c>
      <c r="U60" s="7"/>
      <c r="V60" s="8"/>
      <c r="W60" s="7"/>
      <c r="X60" s="8"/>
      <c r="Y60" s="10" t="s">
        <v>255</v>
      </c>
    </row>
    <row r="61" spans="1:25" ht="27.6" x14ac:dyDescent="0.3">
      <c r="A61" s="7">
        <v>58</v>
      </c>
      <c r="B61" s="12" t="s">
        <v>323</v>
      </c>
      <c r="C61" s="13" t="s">
        <v>250</v>
      </c>
      <c r="D61" s="13" t="s">
        <v>320</v>
      </c>
      <c r="E61" s="10" t="s">
        <v>324</v>
      </c>
      <c r="F61" s="10" t="s">
        <v>325</v>
      </c>
      <c r="G61" s="7" t="s">
        <v>216</v>
      </c>
      <c r="H61" s="14" t="s">
        <v>254</v>
      </c>
      <c r="I61" s="7"/>
      <c r="J61" s="7"/>
      <c r="K61" s="7"/>
      <c r="L61" s="7"/>
      <c r="M61" s="7"/>
      <c r="N61" s="7"/>
      <c r="O61" s="7"/>
      <c r="P61" s="7">
        <v>16</v>
      </c>
      <c r="Q61" s="10"/>
      <c r="R61" s="8" t="s">
        <v>180</v>
      </c>
      <c r="S61" s="8" t="s">
        <v>140</v>
      </c>
      <c r="T61" s="7" t="s">
        <v>218</v>
      </c>
      <c r="U61" s="7"/>
      <c r="V61" s="8"/>
      <c r="W61" s="7"/>
      <c r="X61" s="8"/>
      <c r="Y61" s="10" t="s">
        <v>255</v>
      </c>
    </row>
    <row r="62" spans="1:25" ht="27.6" x14ac:dyDescent="0.3">
      <c r="A62" s="7">
        <v>59</v>
      </c>
      <c r="B62" s="12" t="s">
        <v>326</v>
      </c>
      <c r="C62" s="13" t="s">
        <v>250</v>
      </c>
      <c r="D62" s="13" t="s">
        <v>327</v>
      </c>
      <c r="E62" s="10" t="s">
        <v>328</v>
      </c>
      <c r="F62" s="10" t="s">
        <v>329</v>
      </c>
      <c r="G62" s="7" t="s">
        <v>116</v>
      </c>
      <c r="H62" s="14" t="s">
        <v>254</v>
      </c>
      <c r="I62" s="7"/>
      <c r="J62" s="7"/>
      <c r="K62" s="7"/>
      <c r="L62" s="7"/>
      <c r="M62" s="7"/>
      <c r="N62" s="7"/>
      <c r="O62" s="7"/>
      <c r="P62" s="7">
        <v>17</v>
      </c>
      <c r="Q62" s="10"/>
      <c r="R62" s="8" t="s">
        <v>180</v>
      </c>
      <c r="S62" s="8" t="s">
        <v>140</v>
      </c>
      <c r="T62" s="7" t="s">
        <v>121</v>
      </c>
      <c r="U62" s="7"/>
      <c r="V62" s="8"/>
      <c r="W62" s="7"/>
      <c r="X62" s="8"/>
      <c r="Y62" s="10" t="s">
        <v>255</v>
      </c>
    </row>
    <row r="63" spans="1:25" ht="27.6" x14ac:dyDescent="0.3">
      <c r="A63" s="7">
        <v>60</v>
      </c>
      <c r="B63" s="12" t="s">
        <v>330</v>
      </c>
      <c r="C63" s="13" t="s">
        <v>250</v>
      </c>
      <c r="D63" s="13" t="s">
        <v>327</v>
      </c>
      <c r="E63" s="10" t="s">
        <v>331</v>
      </c>
      <c r="F63" s="10" t="s">
        <v>332</v>
      </c>
      <c r="G63" s="7" t="s">
        <v>216</v>
      </c>
      <c r="H63" s="14" t="s">
        <v>254</v>
      </c>
      <c r="I63" s="7"/>
      <c r="J63" s="7"/>
      <c r="K63" s="7"/>
      <c r="L63" s="7"/>
      <c r="M63" s="7"/>
      <c r="N63" s="7"/>
      <c r="O63" s="7"/>
      <c r="P63" s="7">
        <v>18</v>
      </c>
      <c r="Q63" s="10"/>
      <c r="R63" s="8" t="s">
        <v>180</v>
      </c>
      <c r="S63" s="8" t="s">
        <v>140</v>
      </c>
      <c r="T63" s="7" t="s">
        <v>218</v>
      </c>
      <c r="U63" s="7"/>
      <c r="V63" s="8"/>
      <c r="W63" s="7"/>
      <c r="X63" s="8"/>
      <c r="Y63" s="10" t="s">
        <v>255</v>
      </c>
    </row>
    <row r="64" spans="1:25" ht="27.6" x14ac:dyDescent="0.3">
      <c r="A64" s="7">
        <v>61</v>
      </c>
      <c r="B64" s="12" t="s">
        <v>333</v>
      </c>
      <c r="C64" s="13" t="s">
        <v>250</v>
      </c>
      <c r="D64" s="13" t="s">
        <v>327</v>
      </c>
      <c r="E64" s="10" t="s">
        <v>334</v>
      </c>
      <c r="F64" s="10" t="s">
        <v>335</v>
      </c>
      <c r="G64" s="7" t="s">
        <v>216</v>
      </c>
      <c r="H64" s="14" t="s">
        <v>254</v>
      </c>
      <c r="I64" s="7"/>
      <c r="J64" s="7"/>
      <c r="K64" s="7"/>
      <c r="L64" s="7"/>
      <c r="M64" s="7"/>
      <c r="N64" s="7"/>
      <c r="O64" s="7"/>
      <c r="P64" s="7">
        <v>19</v>
      </c>
      <c r="Q64" s="10"/>
      <c r="R64" s="8" t="s">
        <v>277</v>
      </c>
      <c r="S64" s="8" t="s">
        <v>140</v>
      </c>
      <c r="T64" s="7" t="s">
        <v>218</v>
      </c>
      <c r="U64" s="7"/>
      <c r="V64" s="8"/>
      <c r="W64" s="7"/>
      <c r="X64" s="8"/>
      <c r="Y64" s="10" t="s">
        <v>255</v>
      </c>
    </row>
    <row r="65" spans="1:25" x14ac:dyDescent="0.3">
      <c r="A65" s="7">
        <v>62</v>
      </c>
      <c r="B65" s="8" t="s">
        <v>336</v>
      </c>
      <c r="C65" s="15" t="s">
        <v>337</v>
      </c>
      <c r="D65" s="15" t="s">
        <v>338</v>
      </c>
      <c r="E65" s="10" t="s">
        <v>339</v>
      </c>
      <c r="F65" s="10" t="s">
        <v>340</v>
      </c>
      <c r="G65" s="7" t="s">
        <v>116</v>
      </c>
      <c r="H65" s="10" t="s">
        <v>117</v>
      </c>
      <c r="I65" s="7" t="s">
        <v>118</v>
      </c>
      <c r="J65" s="7"/>
      <c r="K65" s="7"/>
      <c r="L65" s="7"/>
      <c r="M65" s="7"/>
      <c r="N65" s="7" t="s">
        <v>202</v>
      </c>
      <c r="O65" s="7">
        <v>2</v>
      </c>
      <c r="P65" s="7"/>
      <c r="Q65" s="10"/>
      <c r="R65" s="8" t="s">
        <v>139</v>
      </c>
      <c r="S65" s="8" t="s">
        <v>140</v>
      </c>
      <c r="T65" s="7" t="s">
        <v>121</v>
      </c>
      <c r="U65" s="7"/>
      <c r="V65" s="8"/>
      <c r="W65" s="7"/>
      <c r="X65" s="8"/>
      <c r="Y65" s="10"/>
    </row>
    <row r="66" spans="1:25" x14ac:dyDescent="0.3">
      <c r="A66" s="7">
        <v>63</v>
      </c>
      <c r="B66" s="8" t="s">
        <v>341</v>
      </c>
      <c r="C66" s="15" t="s">
        <v>337</v>
      </c>
      <c r="D66" s="15" t="s">
        <v>338</v>
      </c>
      <c r="E66" s="10" t="s">
        <v>342</v>
      </c>
      <c r="F66" s="10" t="s">
        <v>343</v>
      </c>
      <c r="G66" s="7" t="s">
        <v>116</v>
      </c>
      <c r="H66" s="10" t="s">
        <v>117</v>
      </c>
      <c r="I66" s="7" t="s">
        <v>118</v>
      </c>
      <c r="J66" s="7"/>
      <c r="K66" s="7"/>
      <c r="L66" s="7"/>
      <c r="M66" s="7"/>
      <c r="N66" s="7" t="s">
        <v>202</v>
      </c>
      <c r="O66" s="7">
        <v>2</v>
      </c>
      <c r="P66" s="7"/>
      <c r="Q66" s="10"/>
      <c r="R66" s="8" t="s">
        <v>139</v>
      </c>
      <c r="S66" s="8" t="s">
        <v>140</v>
      </c>
      <c r="T66" s="7" t="s">
        <v>121</v>
      </c>
      <c r="U66" s="7"/>
      <c r="V66" s="8"/>
      <c r="W66" s="7"/>
      <c r="X66" s="8"/>
      <c r="Y66" s="10"/>
    </row>
    <row r="67" spans="1:25" x14ac:dyDescent="0.3">
      <c r="A67" s="7">
        <v>64</v>
      </c>
      <c r="B67" s="8" t="s">
        <v>344</v>
      </c>
      <c r="C67" s="15" t="s">
        <v>337</v>
      </c>
      <c r="D67" s="15" t="s">
        <v>338</v>
      </c>
      <c r="E67" s="10" t="s">
        <v>345</v>
      </c>
      <c r="F67" s="10" t="s">
        <v>346</v>
      </c>
      <c r="G67" s="7" t="s">
        <v>116</v>
      </c>
      <c r="H67" s="10" t="s">
        <v>117</v>
      </c>
      <c r="I67" s="7" t="s">
        <v>118</v>
      </c>
      <c r="J67" s="7"/>
      <c r="K67" s="7"/>
      <c r="L67" s="7"/>
      <c r="M67" s="7"/>
      <c r="N67" s="7" t="s">
        <v>202</v>
      </c>
      <c r="O67" s="7">
        <v>2</v>
      </c>
      <c r="P67" s="7"/>
      <c r="Q67" s="10"/>
      <c r="R67" s="8" t="s">
        <v>139</v>
      </c>
      <c r="S67" s="8" t="s">
        <v>140</v>
      </c>
      <c r="T67" s="7" t="s">
        <v>121</v>
      </c>
      <c r="U67" s="7"/>
      <c r="V67" s="8"/>
      <c r="W67" s="7"/>
      <c r="X67" s="8"/>
      <c r="Y67" s="10"/>
    </row>
    <row r="68" spans="1:25" x14ac:dyDescent="0.3">
      <c r="A68" s="7">
        <v>65</v>
      </c>
      <c r="B68" s="8" t="s">
        <v>347</v>
      </c>
      <c r="C68" s="15" t="s">
        <v>337</v>
      </c>
      <c r="D68" s="15" t="s">
        <v>348</v>
      </c>
      <c r="E68" s="10" t="s">
        <v>349</v>
      </c>
      <c r="F68" s="10" t="s">
        <v>350</v>
      </c>
      <c r="G68" s="7" t="s">
        <v>116</v>
      </c>
      <c r="H68" s="10" t="s">
        <v>117</v>
      </c>
      <c r="I68" s="7" t="s">
        <v>118</v>
      </c>
      <c r="J68" s="7"/>
      <c r="K68" s="7"/>
      <c r="L68" s="7"/>
      <c r="M68" s="7"/>
      <c r="N68" s="7" t="s">
        <v>202</v>
      </c>
      <c r="O68" s="7">
        <v>2</v>
      </c>
      <c r="P68" s="7"/>
      <c r="Q68" s="10"/>
      <c r="R68" s="8" t="s">
        <v>139</v>
      </c>
      <c r="S68" s="8" t="s">
        <v>351</v>
      </c>
      <c r="T68" s="7" t="s">
        <v>121</v>
      </c>
      <c r="U68" s="7"/>
      <c r="V68" s="8"/>
      <c r="W68" s="7"/>
      <c r="X68" s="8"/>
      <c r="Y68" s="10"/>
    </row>
    <row r="69" spans="1:25" x14ac:dyDescent="0.3">
      <c r="A69" s="7">
        <v>66</v>
      </c>
      <c r="B69" s="8" t="s">
        <v>352</v>
      </c>
      <c r="C69" s="15" t="s">
        <v>337</v>
      </c>
      <c r="D69" s="15" t="s">
        <v>348</v>
      </c>
      <c r="E69" s="10" t="s">
        <v>353</v>
      </c>
      <c r="F69" s="10" t="s">
        <v>354</v>
      </c>
      <c r="G69" s="7" t="s">
        <v>116</v>
      </c>
      <c r="H69" s="10" t="s">
        <v>117</v>
      </c>
      <c r="I69" s="7" t="s">
        <v>118</v>
      </c>
      <c r="J69" s="7"/>
      <c r="K69" s="7"/>
      <c r="L69" s="7"/>
      <c r="M69" s="7"/>
      <c r="N69" s="7" t="s">
        <v>202</v>
      </c>
      <c r="O69" s="7">
        <v>2</v>
      </c>
      <c r="P69" s="7"/>
      <c r="Q69" s="10"/>
      <c r="R69" s="8" t="s">
        <v>277</v>
      </c>
      <c r="S69" s="8" t="s">
        <v>140</v>
      </c>
      <c r="T69" s="7" t="s">
        <v>121</v>
      </c>
      <c r="U69" s="7"/>
      <c r="V69" s="8"/>
      <c r="W69" s="7"/>
      <c r="X69" s="8"/>
      <c r="Y69" s="10"/>
    </row>
    <row r="70" spans="1:25" x14ac:dyDescent="0.3">
      <c r="A70" s="7">
        <v>67</v>
      </c>
      <c r="B70" s="8" t="s">
        <v>355</v>
      </c>
      <c r="C70" s="15" t="s">
        <v>337</v>
      </c>
      <c r="D70" s="15" t="s">
        <v>356</v>
      </c>
      <c r="E70" s="10" t="s">
        <v>357</v>
      </c>
      <c r="F70" s="10" t="s">
        <v>358</v>
      </c>
      <c r="G70" s="7" t="s">
        <v>116</v>
      </c>
      <c r="H70" s="10" t="s">
        <v>117</v>
      </c>
      <c r="I70" s="7" t="s">
        <v>159</v>
      </c>
      <c r="J70" s="7"/>
      <c r="K70" s="7"/>
      <c r="L70" s="7"/>
      <c r="M70" s="7"/>
      <c r="N70" s="7" t="s">
        <v>359</v>
      </c>
      <c r="O70" s="7">
        <v>2</v>
      </c>
      <c r="P70" s="7"/>
      <c r="Q70" s="10"/>
      <c r="R70" s="8" t="s">
        <v>139</v>
      </c>
      <c r="S70" s="8" t="s">
        <v>140</v>
      </c>
      <c r="T70" s="7" t="s">
        <v>121</v>
      </c>
      <c r="U70" s="7"/>
      <c r="V70" s="8"/>
      <c r="W70" s="7"/>
      <c r="X70" s="8"/>
      <c r="Y70" s="10"/>
    </row>
    <row r="71" spans="1:25" x14ac:dyDescent="0.3">
      <c r="A71" s="7">
        <v>68</v>
      </c>
      <c r="B71" s="8" t="s">
        <v>360</v>
      </c>
      <c r="C71" s="15" t="s">
        <v>337</v>
      </c>
      <c r="D71" s="15" t="s">
        <v>356</v>
      </c>
      <c r="E71" s="10" t="s">
        <v>361</v>
      </c>
      <c r="F71" s="10" t="s">
        <v>362</v>
      </c>
      <c r="G71" s="7" t="s">
        <v>116</v>
      </c>
      <c r="H71" s="10" t="s">
        <v>117</v>
      </c>
      <c r="I71" s="7" t="s">
        <v>159</v>
      </c>
      <c r="J71" s="7"/>
      <c r="K71" s="7"/>
      <c r="L71" s="7"/>
      <c r="M71" s="7"/>
      <c r="N71" s="7" t="s">
        <v>359</v>
      </c>
      <c r="O71" s="7">
        <v>2</v>
      </c>
      <c r="P71" s="7"/>
      <c r="Q71" s="10"/>
      <c r="R71" s="8" t="s">
        <v>139</v>
      </c>
      <c r="S71" s="8" t="s">
        <v>140</v>
      </c>
      <c r="T71" s="7" t="s">
        <v>121</v>
      </c>
      <c r="U71" s="7"/>
      <c r="V71" s="8"/>
      <c r="W71" s="7"/>
      <c r="X71" s="8"/>
      <c r="Y71" s="10"/>
    </row>
    <row r="72" spans="1:25" x14ac:dyDescent="0.3">
      <c r="A72" s="7">
        <v>69</v>
      </c>
      <c r="B72" s="8" t="s">
        <v>363</v>
      </c>
      <c r="C72" s="15" t="s">
        <v>337</v>
      </c>
      <c r="D72" s="15" t="s">
        <v>364</v>
      </c>
      <c r="E72" s="10" t="s">
        <v>365</v>
      </c>
      <c r="F72" s="10" t="s">
        <v>366</v>
      </c>
      <c r="G72" s="7" t="s">
        <v>116</v>
      </c>
      <c r="H72" s="10" t="s">
        <v>117</v>
      </c>
      <c r="I72" s="7" t="s">
        <v>159</v>
      </c>
      <c r="J72" s="7"/>
      <c r="K72" s="7"/>
      <c r="L72" s="7"/>
      <c r="M72" s="7"/>
      <c r="N72" s="7" t="s">
        <v>359</v>
      </c>
      <c r="O72" s="7">
        <v>2</v>
      </c>
      <c r="P72" s="7"/>
      <c r="Q72" s="10"/>
      <c r="R72" s="8" t="s">
        <v>139</v>
      </c>
      <c r="S72" s="8" t="s">
        <v>140</v>
      </c>
      <c r="T72" s="7" t="s">
        <v>121</v>
      </c>
      <c r="U72" s="7"/>
      <c r="V72" s="8"/>
      <c r="W72" s="7"/>
      <c r="X72" s="8"/>
      <c r="Y72" s="10"/>
    </row>
    <row r="73" spans="1:25" x14ac:dyDescent="0.3">
      <c r="A73" s="7">
        <v>70</v>
      </c>
      <c r="B73" s="8" t="s">
        <v>367</v>
      </c>
      <c r="C73" s="15" t="s">
        <v>337</v>
      </c>
      <c r="D73" s="15" t="s">
        <v>364</v>
      </c>
      <c r="E73" s="10" t="s">
        <v>368</v>
      </c>
      <c r="F73" s="10" t="s">
        <v>369</v>
      </c>
      <c r="G73" s="7" t="s">
        <v>116</v>
      </c>
      <c r="H73" s="10" t="s">
        <v>117</v>
      </c>
      <c r="I73" s="7" t="s">
        <v>159</v>
      </c>
      <c r="J73" s="7"/>
      <c r="K73" s="7"/>
      <c r="L73" s="7"/>
      <c r="M73" s="7"/>
      <c r="N73" s="7" t="s">
        <v>359</v>
      </c>
      <c r="O73" s="7">
        <v>2</v>
      </c>
      <c r="P73" s="7"/>
      <c r="Q73" s="10"/>
      <c r="R73" s="8" t="s">
        <v>180</v>
      </c>
      <c r="S73" s="8" t="s">
        <v>140</v>
      </c>
      <c r="T73" s="7" t="s">
        <v>121</v>
      </c>
      <c r="U73" s="7"/>
      <c r="V73" s="8"/>
      <c r="W73" s="7"/>
      <c r="X73" s="8"/>
      <c r="Y73" s="10"/>
    </row>
    <row r="74" spans="1:25" x14ac:dyDescent="0.3">
      <c r="A74" s="7">
        <v>71</v>
      </c>
      <c r="B74" s="8" t="s">
        <v>370</v>
      </c>
      <c r="C74" s="15" t="s">
        <v>337</v>
      </c>
      <c r="D74" s="15" t="s">
        <v>364</v>
      </c>
      <c r="E74" s="10" t="s">
        <v>371</v>
      </c>
      <c r="F74" s="10" t="s">
        <v>372</v>
      </c>
      <c r="G74" s="7" t="s">
        <v>116</v>
      </c>
      <c r="H74" s="10" t="s">
        <v>117</v>
      </c>
      <c r="I74" s="7" t="s">
        <v>159</v>
      </c>
      <c r="J74" s="7"/>
      <c r="K74" s="7"/>
      <c r="L74" s="7"/>
      <c r="M74" s="7"/>
      <c r="N74" s="7" t="s">
        <v>359</v>
      </c>
      <c r="O74" s="7">
        <v>2</v>
      </c>
      <c r="P74" s="7"/>
      <c r="Q74" s="10"/>
      <c r="R74" s="8" t="s">
        <v>139</v>
      </c>
      <c r="S74" s="8" t="s">
        <v>140</v>
      </c>
      <c r="T74" s="7" t="s">
        <v>121</v>
      </c>
      <c r="U74" s="7"/>
      <c r="V74" s="8"/>
      <c r="W74" s="7"/>
      <c r="X74" s="8"/>
      <c r="Y74" s="10"/>
    </row>
    <row r="75" spans="1:25" x14ac:dyDescent="0.3">
      <c r="A75" s="7">
        <v>72</v>
      </c>
      <c r="B75" s="8" t="s">
        <v>373</v>
      </c>
      <c r="C75" s="15" t="s">
        <v>337</v>
      </c>
      <c r="D75" s="15" t="s">
        <v>364</v>
      </c>
      <c r="E75" s="10" t="s">
        <v>374</v>
      </c>
      <c r="F75" s="10" t="s">
        <v>374</v>
      </c>
      <c r="G75" s="7" t="s">
        <v>116</v>
      </c>
      <c r="H75" s="10" t="s">
        <v>117</v>
      </c>
      <c r="I75" s="7" t="s">
        <v>159</v>
      </c>
      <c r="J75" s="7"/>
      <c r="K75" s="7"/>
      <c r="L75" s="7"/>
      <c r="M75" s="7"/>
      <c r="N75" s="7" t="s">
        <v>359</v>
      </c>
      <c r="O75" s="7">
        <v>2</v>
      </c>
      <c r="P75" s="7"/>
      <c r="Q75" s="10"/>
      <c r="R75" s="8" t="s">
        <v>277</v>
      </c>
      <c r="S75" s="8" t="s">
        <v>140</v>
      </c>
      <c r="T75" s="7" t="s">
        <v>121</v>
      </c>
      <c r="U75" s="7"/>
      <c r="V75" s="8"/>
      <c r="W75" s="7"/>
      <c r="X75" s="8"/>
      <c r="Y75" s="10"/>
    </row>
    <row r="76" spans="1:25" x14ac:dyDescent="0.3">
      <c r="A76" s="7">
        <v>73</v>
      </c>
      <c r="B76" s="8" t="s">
        <v>375</v>
      </c>
      <c r="C76" s="15" t="s">
        <v>337</v>
      </c>
      <c r="D76" s="15" t="s">
        <v>376</v>
      </c>
      <c r="E76" s="10" t="s">
        <v>377</v>
      </c>
      <c r="F76" s="10" t="s">
        <v>378</v>
      </c>
      <c r="G76" s="7" t="s">
        <v>116</v>
      </c>
      <c r="H76" s="10" t="s">
        <v>117</v>
      </c>
      <c r="I76" s="7" t="s">
        <v>159</v>
      </c>
      <c r="J76" s="7"/>
      <c r="K76" s="7"/>
      <c r="L76" s="7"/>
      <c r="M76" s="7"/>
      <c r="N76" s="7" t="s">
        <v>359</v>
      </c>
      <c r="O76" s="7">
        <v>2</v>
      </c>
      <c r="P76" s="7"/>
      <c r="Q76" s="10"/>
      <c r="R76" s="8" t="s">
        <v>139</v>
      </c>
      <c r="S76" s="8" t="s">
        <v>351</v>
      </c>
      <c r="T76" s="7" t="s">
        <v>121</v>
      </c>
      <c r="U76" s="7"/>
      <c r="V76" s="8"/>
      <c r="W76" s="7"/>
      <c r="X76" s="8"/>
      <c r="Y76" s="10"/>
    </row>
    <row r="77" spans="1:25" x14ac:dyDescent="0.3">
      <c r="A77" s="7">
        <v>74</v>
      </c>
      <c r="B77" s="8" t="s">
        <v>379</v>
      </c>
      <c r="C77" s="15" t="s">
        <v>337</v>
      </c>
      <c r="D77" s="15" t="s">
        <v>380</v>
      </c>
      <c r="E77" s="10" t="s">
        <v>381</v>
      </c>
      <c r="F77" s="10" t="s">
        <v>382</v>
      </c>
      <c r="G77" s="7" t="s">
        <v>383</v>
      </c>
      <c r="H77" s="10" t="s">
        <v>117</v>
      </c>
      <c r="I77" s="7"/>
      <c r="J77" s="7"/>
      <c r="K77" s="7" t="s">
        <v>384</v>
      </c>
      <c r="L77" s="7" t="s">
        <v>384</v>
      </c>
      <c r="M77" s="7" t="s">
        <v>384</v>
      </c>
      <c r="N77" s="7"/>
      <c r="O77" s="7">
        <v>3</v>
      </c>
      <c r="P77" s="7"/>
      <c r="Q77" s="10"/>
      <c r="R77" s="8" t="s">
        <v>139</v>
      </c>
      <c r="S77" s="8" t="s">
        <v>140</v>
      </c>
      <c r="T77" s="7" t="s">
        <v>385</v>
      </c>
      <c r="U77" s="7"/>
      <c r="V77" s="8"/>
      <c r="W77" s="7"/>
      <c r="X77" s="8"/>
      <c r="Y77" s="10"/>
    </row>
    <row r="78" spans="1:25" x14ac:dyDescent="0.3">
      <c r="A78" s="7">
        <v>75</v>
      </c>
      <c r="B78" s="8" t="s">
        <v>386</v>
      </c>
      <c r="C78" s="15" t="s">
        <v>337</v>
      </c>
      <c r="D78" s="15" t="s">
        <v>380</v>
      </c>
      <c r="E78" s="10" t="s">
        <v>387</v>
      </c>
      <c r="F78" s="10" t="s">
        <v>388</v>
      </c>
      <c r="G78" s="7" t="s">
        <v>383</v>
      </c>
      <c r="H78" s="10" t="s">
        <v>117</v>
      </c>
      <c r="I78" s="7"/>
      <c r="J78" s="7"/>
      <c r="K78" s="7" t="s">
        <v>384</v>
      </c>
      <c r="L78" s="7" t="s">
        <v>384</v>
      </c>
      <c r="M78" s="7" t="s">
        <v>384</v>
      </c>
      <c r="N78" s="7"/>
      <c r="O78" s="7">
        <v>3</v>
      </c>
      <c r="P78" s="7"/>
      <c r="Q78" s="10"/>
      <c r="R78" s="8" t="s">
        <v>139</v>
      </c>
      <c r="S78" s="8" t="s">
        <v>140</v>
      </c>
      <c r="T78" s="7" t="s">
        <v>385</v>
      </c>
      <c r="U78" s="7"/>
      <c r="V78" s="8"/>
      <c r="W78" s="7"/>
      <c r="X78" s="8"/>
      <c r="Y78" s="10"/>
    </row>
    <row r="79" spans="1:25" x14ac:dyDescent="0.3">
      <c r="A79" s="7">
        <v>76</v>
      </c>
      <c r="B79" s="8" t="s">
        <v>389</v>
      </c>
      <c r="C79" s="15" t="s">
        <v>337</v>
      </c>
      <c r="D79" s="15" t="s">
        <v>380</v>
      </c>
      <c r="E79" s="10" t="s">
        <v>390</v>
      </c>
      <c r="F79" s="10" t="s">
        <v>391</v>
      </c>
      <c r="G79" s="7" t="s">
        <v>383</v>
      </c>
      <c r="H79" s="10" t="s">
        <v>117</v>
      </c>
      <c r="I79" s="7"/>
      <c r="J79" s="7"/>
      <c r="K79" s="7" t="s">
        <v>384</v>
      </c>
      <c r="L79" s="7" t="s">
        <v>384</v>
      </c>
      <c r="M79" s="7" t="s">
        <v>384</v>
      </c>
      <c r="N79" s="7"/>
      <c r="O79" s="7">
        <v>3</v>
      </c>
      <c r="P79" s="7"/>
      <c r="Q79" s="10"/>
      <c r="R79" s="8" t="s">
        <v>139</v>
      </c>
      <c r="S79" s="8" t="s">
        <v>140</v>
      </c>
      <c r="T79" s="7" t="s">
        <v>385</v>
      </c>
      <c r="U79" s="7"/>
      <c r="V79" s="8"/>
      <c r="W79" s="7"/>
      <c r="X79" s="8"/>
      <c r="Y79" s="10"/>
    </row>
    <row r="80" spans="1:25" x14ac:dyDescent="0.3">
      <c r="A80" s="7">
        <v>77</v>
      </c>
      <c r="B80" s="8" t="s">
        <v>392</v>
      </c>
      <c r="C80" s="15" t="s">
        <v>337</v>
      </c>
      <c r="D80" s="15" t="s">
        <v>380</v>
      </c>
      <c r="E80" s="10" t="s">
        <v>393</v>
      </c>
      <c r="F80" s="10" t="s">
        <v>394</v>
      </c>
      <c r="G80" s="7" t="s">
        <v>383</v>
      </c>
      <c r="H80" s="10" t="s">
        <v>117</v>
      </c>
      <c r="I80" s="7"/>
      <c r="J80" s="7"/>
      <c r="K80" s="7" t="s">
        <v>384</v>
      </c>
      <c r="L80" s="7" t="s">
        <v>384</v>
      </c>
      <c r="M80" s="7" t="s">
        <v>384</v>
      </c>
      <c r="N80" s="7"/>
      <c r="O80" s="7">
        <v>3</v>
      </c>
      <c r="P80" s="7"/>
      <c r="Q80" s="10"/>
      <c r="R80" s="8" t="s">
        <v>139</v>
      </c>
      <c r="S80" s="8" t="s">
        <v>140</v>
      </c>
      <c r="T80" s="7" t="s">
        <v>385</v>
      </c>
      <c r="U80" s="7"/>
      <c r="V80" s="8"/>
      <c r="W80" s="7"/>
      <c r="X80" s="8"/>
      <c r="Y80" s="10"/>
    </row>
    <row r="81" spans="1:25" x14ac:dyDescent="0.3">
      <c r="A81" s="7">
        <v>78</v>
      </c>
      <c r="B81" s="8" t="s">
        <v>395</v>
      </c>
      <c r="C81" s="15" t="s">
        <v>337</v>
      </c>
      <c r="D81" s="15" t="s">
        <v>380</v>
      </c>
      <c r="E81" s="10" t="s">
        <v>396</v>
      </c>
      <c r="F81" s="10" t="s">
        <v>397</v>
      </c>
      <c r="G81" s="7" t="s">
        <v>383</v>
      </c>
      <c r="H81" s="10" t="s">
        <v>117</v>
      </c>
      <c r="I81" s="7"/>
      <c r="J81" s="7"/>
      <c r="K81" s="7" t="s">
        <v>384</v>
      </c>
      <c r="L81" s="7" t="s">
        <v>384</v>
      </c>
      <c r="M81" s="7" t="s">
        <v>384</v>
      </c>
      <c r="N81" s="7"/>
      <c r="O81" s="7">
        <v>3</v>
      </c>
      <c r="P81" s="7"/>
      <c r="Q81" s="10"/>
      <c r="R81" s="8" t="s">
        <v>139</v>
      </c>
      <c r="S81" s="8" t="s">
        <v>140</v>
      </c>
      <c r="T81" s="7" t="s">
        <v>385</v>
      </c>
      <c r="U81" s="7"/>
      <c r="V81" s="8"/>
      <c r="W81" s="7"/>
      <c r="X81" s="8"/>
      <c r="Y81" s="10"/>
    </row>
    <row r="82" spans="1:25" x14ac:dyDescent="0.3">
      <c r="A82" s="7">
        <v>79</v>
      </c>
      <c r="B82" s="8" t="s">
        <v>398</v>
      </c>
      <c r="C82" s="16" t="s">
        <v>399</v>
      </c>
      <c r="D82" s="16" t="s">
        <v>400</v>
      </c>
      <c r="E82" s="10" t="s">
        <v>401</v>
      </c>
      <c r="F82" s="10" t="s">
        <v>402</v>
      </c>
      <c r="G82" s="7" t="s">
        <v>116</v>
      </c>
      <c r="H82" s="10" t="s">
        <v>117</v>
      </c>
      <c r="I82" s="7" t="s">
        <v>202</v>
      </c>
      <c r="J82" s="7"/>
      <c r="K82" s="7" t="s">
        <v>283</v>
      </c>
      <c r="L82" s="7" t="s">
        <v>283</v>
      </c>
      <c r="M82" s="7" t="s">
        <v>283</v>
      </c>
      <c r="N82" s="7" t="s">
        <v>284</v>
      </c>
      <c r="O82" s="7">
        <v>5</v>
      </c>
      <c r="P82" s="7"/>
      <c r="Q82" s="10"/>
      <c r="R82" s="8" t="s">
        <v>403</v>
      </c>
      <c r="S82" s="8" t="s">
        <v>140</v>
      </c>
      <c r="T82" s="7" t="s">
        <v>121</v>
      </c>
      <c r="U82" s="7"/>
      <c r="V82" s="8"/>
      <c r="W82" s="7"/>
      <c r="X82" s="8"/>
      <c r="Y82" s="10"/>
    </row>
    <row r="83" spans="1:25" x14ac:dyDescent="0.3">
      <c r="A83" s="7">
        <v>80</v>
      </c>
      <c r="B83" s="8" t="s">
        <v>404</v>
      </c>
      <c r="C83" s="16" t="s">
        <v>399</v>
      </c>
      <c r="D83" s="16" t="s">
        <v>400</v>
      </c>
      <c r="E83" s="10" t="s">
        <v>405</v>
      </c>
      <c r="F83" s="10" t="s">
        <v>406</v>
      </c>
      <c r="G83" s="7" t="s">
        <v>116</v>
      </c>
      <c r="H83" s="10" t="s">
        <v>117</v>
      </c>
      <c r="I83" s="7" t="s">
        <v>202</v>
      </c>
      <c r="J83" s="7"/>
      <c r="K83" s="7" t="s">
        <v>283</v>
      </c>
      <c r="L83" s="7" t="s">
        <v>283</v>
      </c>
      <c r="M83" s="7" t="s">
        <v>283</v>
      </c>
      <c r="N83" s="7" t="s">
        <v>284</v>
      </c>
      <c r="O83" s="7">
        <v>5</v>
      </c>
      <c r="P83" s="7"/>
      <c r="Q83" s="10"/>
      <c r="R83" s="8" t="s">
        <v>403</v>
      </c>
      <c r="S83" s="8" t="s">
        <v>140</v>
      </c>
      <c r="T83" s="7" t="s">
        <v>121</v>
      </c>
      <c r="U83" s="7"/>
      <c r="V83" s="8"/>
      <c r="W83" s="7"/>
      <c r="X83" s="8"/>
      <c r="Y83" s="10"/>
    </row>
    <row r="84" spans="1:25" x14ac:dyDescent="0.3">
      <c r="A84" s="7">
        <v>81</v>
      </c>
      <c r="B84" s="8" t="s">
        <v>407</v>
      </c>
      <c r="C84" s="16" t="s">
        <v>399</v>
      </c>
      <c r="D84" s="16" t="s">
        <v>400</v>
      </c>
      <c r="E84" s="10" t="s">
        <v>408</v>
      </c>
      <c r="F84" s="10" t="s">
        <v>409</v>
      </c>
      <c r="G84" s="7" t="s">
        <v>116</v>
      </c>
      <c r="H84" s="10" t="s">
        <v>117</v>
      </c>
      <c r="I84" s="7" t="s">
        <v>202</v>
      </c>
      <c r="J84" s="7"/>
      <c r="K84" s="7" t="s">
        <v>283</v>
      </c>
      <c r="L84" s="7" t="s">
        <v>283</v>
      </c>
      <c r="M84" s="7" t="s">
        <v>283</v>
      </c>
      <c r="N84" s="7" t="s">
        <v>284</v>
      </c>
      <c r="O84" s="7">
        <v>5</v>
      </c>
      <c r="P84" s="7"/>
      <c r="Q84" s="10"/>
      <c r="R84" s="8" t="s">
        <v>403</v>
      </c>
      <c r="S84" s="8" t="s">
        <v>140</v>
      </c>
      <c r="T84" s="7" t="s">
        <v>121</v>
      </c>
      <c r="U84" s="7"/>
      <c r="V84" s="8"/>
      <c r="W84" s="7"/>
      <c r="X84" s="8"/>
      <c r="Y84" s="10"/>
    </row>
    <row r="85" spans="1:25" x14ac:dyDescent="0.3">
      <c r="A85" s="7">
        <v>82</v>
      </c>
      <c r="B85" s="8" t="s">
        <v>410</v>
      </c>
      <c r="C85" s="16" t="s">
        <v>399</v>
      </c>
      <c r="D85" s="16" t="s">
        <v>411</v>
      </c>
      <c r="E85" s="10" t="s">
        <v>412</v>
      </c>
      <c r="F85" s="10" t="s">
        <v>413</v>
      </c>
      <c r="G85" s="7" t="s">
        <v>216</v>
      </c>
      <c r="H85" s="10" t="s">
        <v>117</v>
      </c>
      <c r="I85" s="7" t="s">
        <v>202</v>
      </c>
      <c r="J85" s="7"/>
      <c r="K85" s="7" t="s">
        <v>414</v>
      </c>
      <c r="L85" s="7" t="s">
        <v>414</v>
      </c>
      <c r="M85" s="7" t="s">
        <v>414</v>
      </c>
      <c r="N85" s="7" t="s">
        <v>284</v>
      </c>
      <c r="O85" s="7">
        <v>5</v>
      </c>
      <c r="P85" s="7"/>
      <c r="Q85" s="10"/>
      <c r="R85" s="8" t="s">
        <v>403</v>
      </c>
      <c r="S85" s="8" t="s">
        <v>351</v>
      </c>
      <c r="T85" s="7" t="s">
        <v>218</v>
      </c>
      <c r="U85" s="7"/>
      <c r="V85" s="8"/>
      <c r="W85" s="7"/>
      <c r="X85" s="8"/>
      <c r="Y85" s="10"/>
    </row>
    <row r="86" spans="1:25" ht="27.6" x14ac:dyDescent="0.3">
      <c r="A86" s="7">
        <v>83</v>
      </c>
      <c r="B86" s="8" t="s">
        <v>415</v>
      </c>
      <c r="C86" s="16" t="s">
        <v>399</v>
      </c>
      <c r="D86" s="16" t="s">
        <v>411</v>
      </c>
      <c r="E86" s="10" t="s">
        <v>416</v>
      </c>
      <c r="F86" s="10" t="s">
        <v>417</v>
      </c>
      <c r="G86" s="7" t="s">
        <v>216</v>
      </c>
      <c r="H86" s="10" t="s">
        <v>117</v>
      </c>
      <c r="I86" s="7" t="s">
        <v>202</v>
      </c>
      <c r="J86" s="7"/>
      <c r="K86" s="7" t="s">
        <v>414</v>
      </c>
      <c r="L86" s="7" t="s">
        <v>414</v>
      </c>
      <c r="M86" s="7" t="s">
        <v>414</v>
      </c>
      <c r="N86" s="7" t="s">
        <v>284</v>
      </c>
      <c r="O86" s="7">
        <v>5</v>
      </c>
      <c r="P86" s="7"/>
      <c r="Q86" s="10"/>
      <c r="R86" s="8" t="s">
        <v>403</v>
      </c>
      <c r="S86" s="8" t="s">
        <v>351</v>
      </c>
      <c r="T86" s="7" t="s">
        <v>218</v>
      </c>
      <c r="U86" s="7"/>
      <c r="V86" s="8"/>
      <c r="W86" s="7"/>
      <c r="X86" s="8"/>
      <c r="Y86" s="10"/>
    </row>
    <row r="87" spans="1:25" x14ac:dyDescent="0.3">
      <c r="A87" s="7">
        <v>84</v>
      </c>
      <c r="B87" s="8" t="s">
        <v>418</v>
      </c>
      <c r="C87" s="16" t="s">
        <v>399</v>
      </c>
      <c r="D87" s="16" t="s">
        <v>411</v>
      </c>
      <c r="E87" s="10" t="s">
        <v>419</v>
      </c>
      <c r="F87" s="10" t="s">
        <v>420</v>
      </c>
      <c r="G87" s="7" t="s">
        <v>216</v>
      </c>
      <c r="H87" s="10" t="s">
        <v>117</v>
      </c>
      <c r="I87" s="7"/>
      <c r="J87" s="7"/>
      <c r="K87" s="7" t="s">
        <v>283</v>
      </c>
      <c r="L87" s="7" t="s">
        <v>283</v>
      </c>
      <c r="M87" s="7" t="s">
        <v>283</v>
      </c>
      <c r="N87" s="7"/>
      <c r="O87" s="7">
        <v>3</v>
      </c>
      <c r="P87" s="7"/>
      <c r="Q87" s="10"/>
      <c r="R87" s="8" t="s">
        <v>180</v>
      </c>
      <c r="S87" s="8" t="s">
        <v>140</v>
      </c>
      <c r="T87" s="7" t="s">
        <v>218</v>
      </c>
      <c r="U87" s="7"/>
      <c r="V87" s="8"/>
      <c r="W87" s="7"/>
      <c r="X87" s="8"/>
      <c r="Y87" s="10"/>
    </row>
    <row r="88" spans="1:25" x14ac:dyDescent="0.3">
      <c r="A88" s="7">
        <v>85</v>
      </c>
      <c r="B88" s="8" t="s">
        <v>421</v>
      </c>
      <c r="C88" s="16" t="s">
        <v>399</v>
      </c>
      <c r="D88" s="16" t="s">
        <v>422</v>
      </c>
      <c r="E88" s="10" t="s">
        <v>423</v>
      </c>
      <c r="F88" s="10" t="s">
        <v>424</v>
      </c>
      <c r="G88" s="7" t="s">
        <v>216</v>
      </c>
      <c r="H88" s="10" t="s">
        <v>117</v>
      </c>
      <c r="I88" s="7"/>
      <c r="J88" s="7"/>
      <c r="K88" s="7" t="s">
        <v>414</v>
      </c>
      <c r="L88" s="7" t="s">
        <v>414</v>
      </c>
      <c r="M88" s="7" t="s">
        <v>414</v>
      </c>
      <c r="N88" s="7"/>
      <c r="O88" s="7">
        <v>3</v>
      </c>
      <c r="P88" s="7"/>
      <c r="Q88" s="10"/>
      <c r="R88" s="8" t="s">
        <v>270</v>
      </c>
      <c r="S88" s="8" t="s">
        <v>140</v>
      </c>
      <c r="T88" s="7" t="s">
        <v>218</v>
      </c>
      <c r="U88" s="7"/>
      <c r="V88" s="8"/>
      <c r="W88" s="7"/>
      <c r="X88" s="8"/>
      <c r="Y88" s="10"/>
    </row>
    <row r="89" spans="1:25" x14ac:dyDescent="0.3">
      <c r="A89" s="7">
        <v>86</v>
      </c>
      <c r="B89" s="8" t="s">
        <v>425</v>
      </c>
      <c r="C89" s="16" t="s">
        <v>399</v>
      </c>
      <c r="D89" s="16" t="s">
        <v>422</v>
      </c>
      <c r="E89" s="10" t="s">
        <v>426</v>
      </c>
      <c r="F89" s="10" t="s">
        <v>427</v>
      </c>
      <c r="G89" s="7" t="s">
        <v>216</v>
      </c>
      <c r="H89" s="10" t="s">
        <v>117</v>
      </c>
      <c r="I89" s="7"/>
      <c r="J89" s="7"/>
      <c r="K89" s="7" t="s">
        <v>414</v>
      </c>
      <c r="L89" s="7" t="s">
        <v>414</v>
      </c>
      <c r="M89" s="7" t="s">
        <v>414</v>
      </c>
      <c r="N89" s="7"/>
      <c r="O89" s="7">
        <v>3</v>
      </c>
      <c r="P89" s="7"/>
      <c r="Q89" s="10"/>
      <c r="R89" s="8" t="s">
        <v>119</v>
      </c>
      <c r="S89" s="8" t="s">
        <v>196</v>
      </c>
      <c r="T89" s="7" t="s">
        <v>218</v>
      </c>
      <c r="U89" s="7"/>
      <c r="V89" s="8"/>
      <c r="W89" s="7"/>
      <c r="X89" s="8"/>
      <c r="Y89" s="10"/>
    </row>
    <row r="90" spans="1:25" x14ac:dyDescent="0.3">
      <c r="A90" s="7">
        <v>87</v>
      </c>
      <c r="B90" s="8" t="s">
        <v>428</v>
      </c>
      <c r="C90" s="16" t="s">
        <v>399</v>
      </c>
      <c r="D90" s="16" t="s">
        <v>422</v>
      </c>
      <c r="E90" s="10" t="s">
        <v>429</v>
      </c>
      <c r="F90" s="10" t="s">
        <v>430</v>
      </c>
      <c r="G90" s="7" t="s">
        <v>216</v>
      </c>
      <c r="H90" s="10" t="s">
        <v>117</v>
      </c>
      <c r="I90" s="7"/>
      <c r="J90" s="7"/>
      <c r="K90" s="7" t="s">
        <v>414</v>
      </c>
      <c r="L90" s="7" t="s">
        <v>414</v>
      </c>
      <c r="M90" s="7" t="s">
        <v>414</v>
      </c>
      <c r="N90" s="7"/>
      <c r="O90" s="7">
        <v>3</v>
      </c>
      <c r="P90" s="7"/>
      <c r="Q90" s="10"/>
      <c r="R90" s="8" t="s">
        <v>119</v>
      </c>
      <c r="S90" s="8" t="s">
        <v>196</v>
      </c>
      <c r="T90" s="7" t="s">
        <v>218</v>
      </c>
      <c r="U90" s="7"/>
      <c r="V90" s="8"/>
      <c r="W90" s="7"/>
      <c r="X90" s="8"/>
      <c r="Y90" s="10"/>
    </row>
    <row r="91" spans="1:25" ht="41.4" x14ac:dyDescent="0.3">
      <c r="A91" s="7">
        <v>88</v>
      </c>
      <c r="B91" s="8" t="s">
        <v>431</v>
      </c>
      <c r="C91" s="17" t="s">
        <v>432</v>
      </c>
      <c r="D91" s="17" t="s">
        <v>433</v>
      </c>
      <c r="E91" s="10" t="s">
        <v>434</v>
      </c>
      <c r="F91" s="10" t="s">
        <v>435</v>
      </c>
      <c r="G91" s="7" t="s">
        <v>216</v>
      </c>
      <c r="H91" s="10" t="s">
        <v>117</v>
      </c>
      <c r="I91" s="7"/>
      <c r="J91" s="7" t="s">
        <v>118</v>
      </c>
      <c r="K91" s="7" t="s">
        <v>217</v>
      </c>
      <c r="L91" s="7" t="s">
        <v>217</v>
      </c>
      <c r="M91" s="7" t="s">
        <v>217</v>
      </c>
      <c r="N91" s="7" t="s">
        <v>436</v>
      </c>
      <c r="O91" s="7">
        <v>5</v>
      </c>
      <c r="P91" s="7"/>
      <c r="Q91" s="10"/>
      <c r="R91" s="8" t="s">
        <v>119</v>
      </c>
      <c r="S91" s="8" t="s">
        <v>120</v>
      </c>
      <c r="T91" s="7" t="s">
        <v>218</v>
      </c>
      <c r="U91" s="7"/>
      <c r="V91" s="8"/>
      <c r="W91" s="7"/>
      <c r="X91" s="8"/>
      <c r="Y91" s="10"/>
    </row>
    <row r="92" spans="1:25" ht="41.4" x14ac:dyDescent="0.3">
      <c r="A92" s="7">
        <v>89</v>
      </c>
      <c r="B92" s="8" t="s">
        <v>437</v>
      </c>
      <c r="C92" s="17" t="s">
        <v>432</v>
      </c>
      <c r="D92" s="17" t="s">
        <v>433</v>
      </c>
      <c r="E92" s="10" t="s">
        <v>438</v>
      </c>
      <c r="F92" s="10" t="s">
        <v>439</v>
      </c>
      <c r="G92" s="7" t="s">
        <v>383</v>
      </c>
      <c r="H92" s="10" t="s">
        <v>117</v>
      </c>
      <c r="I92" s="7"/>
      <c r="J92" s="7" t="s">
        <v>118</v>
      </c>
      <c r="K92" s="7" t="s">
        <v>217</v>
      </c>
      <c r="L92" s="7" t="s">
        <v>217</v>
      </c>
      <c r="M92" s="7" t="s">
        <v>217</v>
      </c>
      <c r="N92" s="7" t="s">
        <v>436</v>
      </c>
      <c r="O92" s="7">
        <v>5</v>
      </c>
      <c r="P92" s="7"/>
      <c r="Q92" s="10"/>
      <c r="R92" s="8" t="s">
        <v>403</v>
      </c>
      <c r="S92" s="8" t="s">
        <v>140</v>
      </c>
      <c r="T92" s="7" t="s">
        <v>385</v>
      </c>
      <c r="U92" s="7"/>
      <c r="V92" s="8"/>
      <c r="W92" s="7"/>
      <c r="X92" s="8"/>
      <c r="Y92" s="10"/>
    </row>
    <row r="93" spans="1:25" ht="27.6" x14ac:dyDescent="0.3">
      <c r="A93" s="7">
        <v>90</v>
      </c>
      <c r="B93" s="8" t="s">
        <v>316</v>
      </c>
      <c r="C93" s="17" t="s">
        <v>432</v>
      </c>
      <c r="D93" s="17" t="s">
        <v>440</v>
      </c>
      <c r="E93" s="10" t="s">
        <v>441</v>
      </c>
      <c r="F93" s="10" t="s">
        <v>442</v>
      </c>
      <c r="G93" s="7" t="s">
        <v>383</v>
      </c>
      <c r="H93" s="10" t="s">
        <v>117</v>
      </c>
      <c r="I93" s="7"/>
      <c r="J93" s="7" t="s">
        <v>118</v>
      </c>
      <c r="K93" s="7" t="s">
        <v>443</v>
      </c>
      <c r="L93" s="7" t="s">
        <v>443</v>
      </c>
      <c r="M93" s="7" t="s">
        <v>443</v>
      </c>
      <c r="N93" s="7" t="s">
        <v>436</v>
      </c>
      <c r="O93" s="7">
        <v>5</v>
      </c>
      <c r="P93" s="7"/>
      <c r="Q93" s="10"/>
      <c r="R93" s="8" t="s">
        <v>119</v>
      </c>
      <c r="S93" s="8" t="s">
        <v>120</v>
      </c>
      <c r="T93" s="7" t="s">
        <v>385</v>
      </c>
      <c r="U93" s="7"/>
      <c r="V93" s="8"/>
      <c r="W93" s="7"/>
      <c r="X93" s="8"/>
      <c r="Y93" s="10"/>
    </row>
    <row r="94" spans="1:25" ht="27.6" x14ac:dyDescent="0.3">
      <c r="A94" s="7">
        <v>91</v>
      </c>
      <c r="B94" s="8" t="s">
        <v>444</v>
      </c>
      <c r="C94" s="17" t="s">
        <v>432</v>
      </c>
      <c r="D94" s="17" t="s">
        <v>440</v>
      </c>
      <c r="E94" s="10" t="s">
        <v>445</v>
      </c>
      <c r="F94" s="10" t="s">
        <v>446</v>
      </c>
      <c r="G94" s="7" t="s">
        <v>383</v>
      </c>
      <c r="H94" s="10" t="s">
        <v>117</v>
      </c>
      <c r="I94" s="7"/>
      <c r="J94" s="7"/>
      <c r="K94" s="7" t="s">
        <v>443</v>
      </c>
      <c r="L94" s="7" t="s">
        <v>443</v>
      </c>
      <c r="M94" s="7" t="s">
        <v>443</v>
      </c>
      <c r="N94" s="7"/>
      <c r="O94" s="7">
        <v>3</v>
      </c>
      <c r="P94" s="7"/>
      <c r="Q94" s="10"/>
      <c r="R94" s="8" t="s">
        <v>119</v>
      </c>
      <c r="S94" s="8" t="s">
        <v>196</v>
      </c>
      <c r="T94" s="7" t="s">
        <v>385</v>
      </c>
      <c r="U94" s="7"/>
      <c r="V94" s="8"/>
      <c r="W94" s="7"/>
      <c r="X94" s="8"/>
      <c r="Y94" s="10"/>
    </row>
    <row r="95" spans="1:25" ht="27.6" x14ac:dyDescent="0.3">
      <c r="A95" s="7">
        <v>92</v>
      </c>
      <c r="B95" s="8" t="s">
        <v>447</v>
      </c>
      <c r="C95" s="17" t="s">
        <v>432</v>
      </c>
      <c r="D95" s="17" t="s">
        <v>440</v>
      </c>
      <c r="E95" s="10" t="s">
        <v>448</v>
      </c>
      <c r="F95" s="10" t="s">
        <v>449</v>
      </c>
      <c r="G95" s="7" t="s">
        <v>383</v>
      </c>
      <c r="H95" s="10" t="s">
        <v>117</v>
      </c>
      <c r="I95" s="7"/>
      <c r="J95" s="7"/>
      <c r="K95" s="7" t="s">
        <v>443</v>
      </c>
      <c r="L95" s="7" t="s">
        <v>443</v>
      </c>
      <c r="M95" s="7" t="s">
        <v>443</v>
      </c>
      <c r="N95" s="7"/>
      <c r="O95" s="7">
        <v>3</v>
      </c>
      <c r="P95" s="7"/>
      <c r="Q95" s="10"/>
      <c r="R95" s="8" t="s">
        <v>119</v>
      </c>
      <c r="S95" s="8" t="s">
        <v>196</v>
      </c>
      <c r="T95" s="7" t="s">
        <v>385</v>
      </c>
      <c r="U95" s="7"/>
      <c r="V95" s="8"/>
      <c r="W95" s="7"/>
      <c r="X95" s="8"/>
      <c r="Y95" s="10"/>
    </row>
    <row r="96" spans="1:25" ht="27.6" x14ac:dyDescent="0.3">
      <c r="A96" s="7">
        <v>93</v>
      </c>
      <c r="B96" s="8" t="s">
        <v>450</v>
      </c>
      <c r="C96" s="18" t="s">
        <v>451</v>
      </c>
      <c r="D96" s="18" t="s">
        <v>452</v>
      </c>
      <c r="E96" s="10" t="s">
        <v>452</v>
      </c>
      <c r="F96" s="10" t="s">
        <v>453</v>
      </c>
      <c r="G96" s="7" t="s">
        <v>383</v>
      </c>
      <c r="H96" s="10" t="s">
        <v>117</v>
      </c>
      <c r="I96" s="7"/>
      <c r="J96" s="7" t="s">
        <v>159</v>
      </c>
      <c r="K96" s="7" t="s">
        <v>454</v>
      </c>
      <c r="L96" s="7" t="s">
        <v>454</v>
      </c>
      <c r="M96" s="7" t="s">
        <v>454</v>
      </c>
      <c r="N96" s="7" t="s">
        <v>455</v>
      </c>
      <c r="O96" s="7">
        <v>5</v>
      </c>
      <c r="P96" s="7"/>
      <c r="Q96" s="10"/>
      <c r="R96" s="8" t="s">
        <v>270</v>
      </c>
      <c r="S96" s="8" t="s">
        <v>140</v>
      </c>
      <c r="T96" s="7" t="s">
        <v>385</v>
      </c>
      <c r="U96" s="7"/>
      <c r="V96" s="8"/>
      <c r="W96" s="7"/>
      <c r="X96" s="8"/>
      <c r="Y96" s="10"/>
    </row>
    <row r="97" spans="1:25" ht="27.6" x14ac:dyDescent="0.3">
      <c r="A97" s="7">
        <v>94</v>
      </c>
      <c r="B97" s="8" t="s">
        <v>456</v>
      </c>
      <c r="C97" s="18" t="s">
        <v>451</v>
      </c>
      <c r="D97" s="18" t="s">
        <v>457</v>
      </c>
      <c r="E97" s="10" t="s">
        <v>457</v>
      </c>
      <c r="F97" s="10" t="s">
        <v>458</v>
      </c>
      <c r="G97" s="7" t="s">
        <v>383</v>
      </c>
      <c r="H97" s="10" t="s">
        <v>117</v>
      </c>
      <c r="I97" s="7"/>
      <c r="J97" s="7" t="s">
        <v>159</v>
      </c>
      <c r="K97" s="7" t="s">
        <v>454</v>
      </c>
      <c r="L97" s="7" t="s">
        <v>454</v>
      </c>
      <c r="M97" s="7" t="s">
        <v>454</v>
      </c>
      <c r="N97" s="7" t="s">
        <v>455</v>
      </c>
      <c r="O97" s="7">
        <v>5</v>
      </c>
      <c r="P97" s="7"/>
      <c r="Q97" s="10"/>
      <c r="R97" s="8" t="s">
        <v>139</v>
      </c>
      <c r="S97" s="8" t="s">
        <v>140</v>
      </c>
      <c r="T97" s="7" t="s">
        <v>385</v>
      </c>
      <c r="U97" s="7"/>
      <c r="V97" s="8"/>
      <c r="W97" s="7"/>
      <c r="X97" s="8"/>
      <c r="Y97" s="10"/>
    </row>
    <row r="98" spans="1:25" ht="27.6" x14ac:dyDescent="0.3">
      <c r="A98" s="7">
        <v>95</v>
      </c>
      <c r="B98" s="8" t="s">
        <v>459</v>
      </c>
      <c r="C98" s="18" t="s">
        <v>451</v>
      </c>
      <c r="D98" s="18" t="s">
        <v>460</v>
      </c>
      <c r="E98" s="10" t="s">
        <v>460</v>
      </c>
      <c r="F98" s="10" t="s">
        <v>461</v>
      </c>
      <c r="G98" s="7" t="s">
        <v>383</v>
      </c>
      <c r="H98" s="10" t="s">
        <v>117</v>
      </c>
      <c r="I98" s="7"/>
      <c r="J98" s="7" t="s">
        <v>159</v>
      </c>
      <c r="K98" s="7" t="s">
        <v>462</v>
      </c>
      <c r="L98" s="7" t="s">
        <v>462</v>
      </c>
      <c r="M98" s="7" t="s">
        <v>462</v>
      </c>
      <c r="N98" s="7" t="s">
        <v>455</v>
      </c>
      <c r="O98" s="7">
        <v>5</v>
      </c>
      <c r="P98" s="7"/>
      <c r="Q98" s="10"/>
      <c r="R98" s="8" t="s">
        <v>403</v>
      </c>
      <c r="S98" s="8" t="s">
        <v>140</v>
      </c>
      <c r="T98" s="7" t="s">
        <v>385</v>
      </c>
      <c r="U98" s="7"/>
      <c r="V98" s="8"/>
      <c r="W98" s="7"/>
      <c r="X98" s="8"/>
      <c r="Y98" s="10"/>
    </row>
    <row r="99" spans="1:25" x14ac:dyDescent="0.3">
      <c r="A99" s="7">
        <v>96</v>
      </c>
      <c r="B99" s="8" t="s">
        <v>463</v>
      </c>
      <c r="C99" s="19" t="s">
        <v>464</v>
      </c>
      <c r="D99" s="19" t="s">
        <v>465</v>
      </c>
      <c r="E99" s="10" t="s">
        <v>466</v>
      </c>
      <c r="F99" s="10" t="s">
        <v>467</v>
      </c>
      <c r="G99" s="7" t="s">
        <v>468</v>
      </c>
      <c r="H99" s="10" t="s">
        <v>117</v>
      </c>
      <c r="I99" s="7"/>
      <c r="J99" s="7" t="s">
        <v>202</v>
      </c>
      <c r="K99" s="7"/>
      <c r="L99" s="7"/>
      <c r="M99" s="7"/>
      <c r="N99" s="7" t="s">
        <v>469</v>
      </c>
      <c r="O99" s="7">
        <v>2</v>
      </c>
      <c r="P99" s="7"/>
      <c r="Q99" s="10"/>
      <c r="R99" s="8" t="s">
        <v>119</v>
      </c>
      <c r="S99" s="8" t="s">
        <v>196</v>
      </c>
      <c r="T99" s="7" t="s">
        <v>385</v>
      </c>
      <c r="U99" s="7"/>
      <c r="V99" s="8"/>
      <c r="W99" s="7"/>
      <c r="X99" s="8"/>
      <c r="Y99" s="10"/>
    </row>
    <row r="100" spans="1:25" ht="27.6" x14ac:dyDescent="0.3">
      <c r="A100" s="7">
        <v>97</v>
      </c>
      <c r="B100" s="8" t="s">
        <v>470</v>
      </c>
      <c r="C100" s="19" t="s">
        <v>464</v>
      </c>
      <c r="D100" s="19" t="s">
        <v>465</v>
      </c>
      <c r="E100" s="10" t="s">
        <v>471</v>
      </c>
      <c r="F100" s="10" t="s">
        <v>472</v>
      </c>
      <c r="G100" s="7" t="s">
        <v>468</v>
      </c>
      <c r="H100" s="10" t="s">
        <v>117</v>
      </c>
      <c r="I100" s="7"/>
      <c r="J100" s="7" t="s">
        <v>202</v>
      </c>
      <c r="K100" s="7"/>
      <c r="L100" s="7"/>
      <c r="M100" s="7"/>
      <c r="N100" s="7" t="s">
        <v>469</v>
      </c>
      <c r="O100" s="7">
        <v>2</v>
      </c>
      <c r="P100" s="7"/>
      <c r="Q100" s="10"/>
      <c r="R100" s="8" t="s">
        <v>119</v>
      </c>
      <c r="S100" s="8" t="s">
        <v>196</v>
      </c>
      <c r="T100" s="7" t="s">
        <v>385</v>
      </c>
      <c r="U100" s="7"/>
      <c r="V100" s="8"/>
      <c r="W100" s="7"/>
      <c r="X100" s="8"/>
      <c r="Y100" s="10"/>
    </row>
    <row r="101" spans="1:25" x14ac:dyDescent="0.3">
      <c r="A101" s="7">
        <v>98</v>
      </c>
      <c r="B101" s="8" t="s">
        <v>473</v>
      </c>
      <c r="C101" s="19" t="s">
        <v>464</v>
      </c>
      <c r="D101" s="19" t="s">
        <v>465</v>
      </c>
      <c r="E101" s="10" t="s">
        <v>474</v>
      </c>
      <c r="F101" s="10" t="s">
        <v>475</v>
      </c>
      <c r="G101" s="7" t="s">
        <v>468</v>
      </c>
      <c r="H101" s="10" t="s">
        <v>117</v>
      </c>
      <c r="I101" s="7"/>
      <c r="J101" s="7"/>
      <c r="K101" s="7" t="s">
        <v>476</v>
      </c>
      <c r="L101" s="7" t="s">
        <v>476</v>
      </c>
      <c r="M101" s="7" t="s">
        <v>476</v>
      </c>
      <c r="N101" s="7"/>
      <c r="O101" s="7">
        <v>3</v>
      </c>
      <c r="P101" s="7"/>
      <c r="Q101" s="10"/>
      <c r="R101" s="8" t="s">
        <v>119</v>
      </c>
      <c r="S101" s="8" t="s">
        <v>196</v>
      </c>
      <c r="T101" s="7" t="s">
        <v>385</v>
      </c>
      <c r="U101" s="7"/>
      <c r="V101" s="8"/>
      <c r="W101" s="7"/>
      <c r="X101" s="8"/>
      <c r="Y101" s="10"/>
    </row>
    <row r="102" spans="1:25" x14ac:dyDescent="0.3">
      <c r="A102" s="7">
        <v>99</v>
      </c>
      <c r="B102" s="8" t="s">
        <v>477</v>
      </c>
      <c r="C102" s="19" t="s">
        <v>464</v>
      </c>
      <c r="D102" s="19" t="s">
        <v>465</v>
      </c>
      <c r="E102" s="10" t="s">
        <v>478</v>
      </c>
      <c r="F102" s="10" t="s">
        <v>479</v>
      </c>
      <c r="G102" s="7" t="s">
        <v>468</v>
      </c>
      <c r="H102" s="10" t="s">
        <v>117</v>
      </c>
      <c r="I102" s="7"/>
      <c r="J102" s="7"/>
      <c r="K102" s="7" t="s">
        <v>476</v>
      </c>
      <c r="L102" s="7" t="s">
        <v>476</v>
      </c>
      <c r="M102" s="7" t="s">
        <v>476</v>
      </c>
      <c r="N102" s="7"/>
      <c r="O102" s="7">
        <v>3</v>
      </c>
      <c r="P102" s="7"/>
      <c r="Q102" s="10"/>
      <c r="R102" s="8" t="s">
        <v>119</v>
      </c>
      <c r="S102" s="8" t="s">
        <v>196</v>
      </c>
      <c r="T102" s="7" t="s">
        <v>385</v>
      </c>
      <c r="U102" s="7"/>
      <c r="V102" s="8"/>
      <c r="W102" s="7"/>
      <c r="X102" s="8"/>
      <c r="Y102" s="10"/>
    </row>
    <row r="103" spans="1:25" x14ac:dyDescent="0.3">
      <c r="A103" s="7">
        <v>100</v>
      </c>
      <c r="B103" s="8" t="s">
        <v>480</v>
      </c>
      <c r="C103" s="19" t="s">
        <v>464</v>
      </c>
      <c r="D103" s="19" t="s">
        <v>481</v>
      </c>
      <c r="E103" s="10" t="s">
        <v>481</v>
      </c>
      <c r="F103" s="10" t="s">
        <v>482</v>
      </c>
      <c r="G103" s="7" t="s">
        <v>468</v>
      </c>
      <c r="H103" s="10" t="s">
        <v>117</v>
      </c>
      <c r="I103" s="7"/>
      <c r="J103" s="7" t="s">
        <v>202</v>
      </c>
      <c r="K103" s="7"/>
      <c r="L103" s="7"/>
      <c r="M103" s="7"/>
      <c r="N103" s="7" t="s">
        <v>469</v>
      </c>
      <c r="O103" s="7">
        <v>2</v>
      </c>
      <c r="P103" s="7"/>
      <c r="Q103" s="10"/>
      <c r="R103" s="8" t="s">
        <v>180</v>
      </c>
      <c r="S103" s="8" t="s">
        <v>140</v>
      </c>
      <c r="T103" s="7" t="s">
        <v>385</v>
      </c>
      <c r="U103" s="7"/>
      <c r="V103" s="8"/>
      <c r="W103" s="7"/>
      <c r="X103" s="8"/>
      <c r="Y103" s="10"/>
    </row>
    <row r="104" spans="1:25" x14ac:dyDescent="0.3">
      <c r="A104" s="7">
        <v>101</v>
      </c>
      <c r="B104" s="8" t="s">
        <v>483</v>
      </c>
      <c r="C104" s="19" t="s">
        <v>464</v>
      </c>
      <c r="D104" s="19" t="s">
        <v>481</v>
      </c>
      <c r="E104" s="10" t="s">
        <v>484</v>
      </c>
      <c r="F104" s="10" t="s">
        <v>485</v>
      </c>
      <c r="G104" s="7" t="s">
        <v>468</v>
      </c>
      <c r="H104" s="10" t="s">
        <v>117</v>
      </c>
      <c r="I104" s="7"/>
      <c r="J104" s="7"/>
      <c r="K104" s="7" t="s">
        <v>476</v>
      </c>
      <c r="L104" s="7" t="s">
        <v>476</v>
      </c>
      <c r="M104" s="7" t="s">
        <v>476</v>
      </c>
      <c r="N104" s="7"/>
      <c r="O104" s="7">
        <v>3</v>
      </c>
      <c r="P104" s="7"/>
      <c r="Q104" s="10"/>
      <c r="R104" s="8" t="s">
        <v>180</v>
      </c>
      <c r="S104" s="8" t="s">
        <v>140</v>
      </c>
      <c r="T104" s="7" t="s">
        <v>385</v>
      </c>
      <c r="U104" s="7"/>
      <c r="V104" s="8"/>
      <c r="W104" s="7"/>
      <c r="X104" s="8"/>
      <c r="Y104" s="10"/>
    </row>
    <row r="105" spans="1:25" x14ac:dyDescent="0.3">
      <c r="A105" s="7">
        <v>102</v>
      </c>
      <c r="B105" s="8" t="s">
        <v>486</v>
      </c>
      <c r="C105" s="19" t="s">
        <v>464</v>
      </c>
      <c r="D105" s="19" t="s">
        <v>481</v>
      </c>
      <c r="E105" s="10" t="s">
        <v>487</v>
      </c>
      <c r="F105" s="10" t="s">
        <v>488</v>
      </c>
      <c r="G105" s="7" t="s">
        <v>468</v>
      </c>
      <c r="H105" s="10" t="s">
        <v>117</v>
      </c>
      <c r="I105" s="7"/>
      <c r="J105" s="7"/>
      <c r="K105" s="7" t="s">
        <v>476</v>
      </c>
      <c r="L105" s="7" t="s">
        <v>476</v>
      </c>
      <c r="M105" s="7" t="s">
        <v>476</v>
      </c>
      <c r="N105" s="7"/>
      <c r="O105" s="7">
        <v>3</v>
      </c>
      <c r="P105" s="7"/>
      <c r="Q105" s="10"/>
      <c r="R105" s="8" t="s">
        <v>180</v>
      </c>
      <c r="S105" s="8" t="s">
        <v>140</v>
      </c>
      <c r="T105" s="7" t="s">
        <v>385</v>
      </c>
      <c r="U105" s="7"/>
      <c r="V105" s="8"/>
      <c r="W105" s="7"/>
      <c r="X105" s="8"/>
      <c r="Y105" s="10"/>
    </row>
    <row r="106" spans="1:25" ht="41.4" x14ac:dyDescent="0.3">
      <c r="A106" s="7">
        <v>103</v>
      </c>
      <c r="B106" s="8" t="s">
        <v>489</v>
      </c>
      <c r="C106" s="19" t="s">
        <v>464</v>
      </c>
      <c r="D106" s="19" t="s">
        <v>490</v>
      </c>
      <c r="E106" s="10" t="s">
        <v>491</v>
      </c>
      <c r="F106" s="10" t="s">
        <v>492</v>
      </c>
      <c r="G106" s="7" t="s">
        <v>468</v>
      </c>
      <c r="H106" s="10" t="s">
        <v>117</v>
      </c>
      <c r="I106" s="7"/>
      <c r="J106" s="7"/>
      <c r="K106" s="7" t="s">
        <v>493</v>
      </c>
      <c r="L106" s="7" t="s">
        <v>493</v>
      </c>
      <c r="M106" s="7" t="s">
        <v>493</v>
      </c>
      <c r="N106" s="7"/>
      <c r="O106" s="7">
        <v>3</v>
      </c>
      <c r="P106" s="7"/>
      <c r="Q106" s="10"/>
      <c r="R106" s="8" t="s">
        <v>119</v>
      </c>
      <c r="S106" s="8" t="s">
        <v>120</v>
      </c>
      <c r="T106" s="7" t="s">
        <v>385</v>
      </c>
      <c r="U106" s="7"/>
      <c r="V106" s="8"/>
      <c r="W106" s="7"/>
      <c r="X106" s="8"/>
      <c r="Y106" s="10"/>
    </row>
    <row r="107" spans="1:25" ht="27.6" x14ac:dyDescent="0.3">
      <c r="A107" s="7">
        <v>104</v>
      </c>
      <c r="B107" s="8" t="s">
        <v>494</v>
      </c>
      <c r="C107" s="19" t="s">
        <v>464</v>
      </c>
      <c r="D107" s="19" t="s">
        <v>490</v>
      </c>
      <c r="E107" s="10" t="s">
        <v>495</v>
      </c>
      <c r="F107" s="10" t="s">
        <v>496</v>
      </c>
      <c r="G107" s="7" t="s">
        <v>468</v>
      </c>
      <c r="H107" s="10" t="s">
        <v>117</v>
      </c>
      <c r="I107" s="7"/>
      <c r="J107" s="7"/>
      <c r="K107" s="7" t="s">
        <v>493</v>
      </c>
      <c r="L107" s="7" t="s">
        <v>493</v>
      </c>
      <c r="M107" s="7" t="s">
        <v>493</v>
      </c>
      <c r="N107" s="7"/>
      <c r="O107" s="7">
        <v>3</v>
      </c>
      <c r="P107" s="7"/>
      <c r="Q107" s="10"/>
      <c r="R107" s="8" t="s">
        <v>119</v>
      </c>
      <c r="S107" s="8" t="s">
        <v>120</v>
      </c>
      <c r="T107" s="7" t="s">
        <v>385</v>
      </c>
      <c r="U107" s="7"/>
      <c r="V107" s="8"/>
      <c r="W107" s="7"/>
      <c r="X107" s="8"/>
      <c r="Y107" s="10"/>
    </row>
    <row r="108" spans="1:25" x14ac:dyDescent="0.3">
      <c r="A108" s="7">
        <v>105</v>
      </c>
      <c r="B108" s="8" t="s">
        <v>497</v>
      </c>
      <c r="C108" s="19" t="s">
        <v>464</v>
      </c>
      <c r="D108" s="19" t="s">
        <v>490</v>
      </c>
      <c r="E108" s="10" t="s">
        <v>498</v>
      </c>
      <c r="F108" s="10" t="s">
        <v>498</v>
      </c>
      <c r="G108" s="7" t="s">
        <v>468</v>
      </c>
      <c r="H108" s="10" t="s">
        <v>117</v>
      </c>
      <c r="I108" s="7"/>
      <c r="J108" s="7"/>
      <c r="K108" s="7" t="s">
        <v>493</v>
      </c>
      <c r="L108" s="7" t="s">
        <v>493</v>
      </c>
      <c r="M108" s="7" t="s">
        <v>493</v>
      </c>
      <c r="N108" s="7"/>
      <c r="O108" s="7">
        <v>3</v>
      </c>
      <c r="P108" s="7"/>
      <c r="Q108" s="10"/>
      <c r="R108" s="8" t="s">
        <v>119</v>
      </c>
      <c r="S108" s="8" t="s">
        <v>120</v>
      </c>
      <c r="T108" s="7" t="s">
        <v>385</v>
      </c>
      <c r="U108" s="7"/>
      <c r="V108" s="8"/>
      <c r="W108" s="7"/>
      <c r="X108" s="8"/>
      <c r="Y108" s="10"/>
    </row>
    <row r="109" spans="1:25" ht="27.6" x14ac:dyDescent="0.3">
      <c r="A109" s="7">
        <v>106</v>
      </c>
      <c r="B109" s="8" t="s">
        <v>499</v>
      </c>
      <c r="C109" s="20" t="s">
        <v>500</v>
      </c>
      <c r="D109" s="20" t="s">
        <v>501</v>
      </c>
      <c r="E109" s="10" t="s">
        <v>502</v>
      </c>
      <c r="F109" s="10" t="s">
        <v>503</v>
      </c>
      <c r="G109" s="7" t="s">
        <v>383</v>
      </c>
      <c r="H109" s="10" t="s">
        <v>117</v>
      </c>
      <c r="I109" s="7"/>
      <c r="J109" s="7" t="s">
        <v>202</v>
      </c>
      <c r="K109" s="7" t="s">
        <v>493</v>
      </c>
      <c r="L109" s="7" t="s">
        <v>493</v>
      </c>
      <c r="M109" s="7" t="s">
        <v>493</v>
      </c>
      <c r="N109" s="7" t="s">
        <v>469</v>
      </c>
      <c r="O109" s="7">
        <v>5</v>
      </c>
      <c r="P109" s="7"/>
      <c r="Q109" s="10"/>
      <c r="R109" s="8" t="s">
        <v>119</v>
      </c>
      <c r="S109" s="8" t="s">
        <v>196</v>
      </c>
      <c r="T109" s="7" t="s">
        <v>385</v>
      </c>
      <c r="U109" s="7"/>
      <c r="V109" s="8"/>
      <c r="W109" s="7"/>
      <c r="X109" s="8"/>
      <c r="Y109" s="10"/>
    </row>
    <row r="110" spans="1:25" ht="27.6" x14ac:dyDescent="0.3">
      <c r="A110" s="7">
        <v>107</v>
      </c>
      <c r="B110" s="8" t="s">
        <v>504</v>
      </c>
      <c r="C110" s="20" t="s">
        <v>500</v>
      </c>
      <c r="D110" s="20" t="s">
        <v>501</v>
      </c>
      <c r="E110" s="10" t="s">
        <v>505</v>
      </c>
      <c r="F110" s="10" t="s">
        <v>506</v>
      </c>
      <c r="G110" s="7" t="s">
        <v>383</v>
      </c>
      <c r="H110" s="10" t="s">
        <v>117</v>
      </c>
      <c r="I110" s="7"/>
      <c r="J110" s="7" t="s">
        <v>202</v>
      </c>
      <c r="K110" s="7" t="s">
        <v>493</v>
      </c>
      <c r="L110" s="7" t="s">
        <v>493</v>
      </c>
      <c r="M110" s="7" t="s">
        <v>493</v>
      </c>
      <c r="N110" s="7" t="s">
        <v>469</v>
      </c>
      <c r="O110" s="7">
        <v>5</v>
      </c>
      <c r="P110" s="7"/>
      <c r="Q110" s="10"/>
      <c r="R110" s="8" t="s">
        <v>119</v>
      </c>
      <c r="S110" s="8" t="s">
        <v>196</v>
      </c>
      <c r="T110" s="7" t="s">
        <v>385</v>
      </c>
      <c r="U110" s="7"/>
      <c r="V110" s="8"/>
      <c r="W110" s="7"/>
      <c r="X110" s="8"/>
      <c r="Y110" s="10"/>
    </row>
    <row r="111" spans="1:25" ht="27.6" x14ac:dyDescent="0.3">
      <c r="A111" s="7">
        <v>108</v>
      </c>
      <c r="B111" s="8" t="s">
        <v>507</v>
      </c>
      <c r="C111" s="20" t="s">
        <v>500</v>
      </c>
      <c r="D111" s="20" t="s">
        <v>508</v>
      </c>
      <c r="E111" s="10" t="s">
        <v>509</v>
      </c>
      <c r="F111" s="10" t="s">
        <v>510</v>
      </c>
      <c r="G111" s="7" t="s">
        <v>383</v>
      </c>
      <c r="H111" s="10" t="s">
        <v>117</v>
      </c>
      <c r="I111" s="7"/>
      <c r="J111" s="7"/>
      <c r="K111" s="7" t="s">
        <v>511</v>
      </c>
      <c r="L111" s="7" t="s">
        <v>511</v>
      </c>
      <c r="M111" s="7" t="s">
        <v>511</v>
      </c>
      <c r="N111" s="7"/>
      <c r="O111" s="7">
        <v>3</v>
      </c>
      <c r="P111" s="7"/>
      <c r="Q111" s="10"/>
      <c r="R111" s="8" t="s">
        <v>119</v>
      </c>
      <c r="S111" s="8" t="s">
        <v>196</v>
      </c>
      <c r="T111" s="7" t="s">
        <v>385</v>
      </c>
      <c r="U111" s="7"/>
      <c r="V111" s="8"/>
      <c r="W111" s="7"/>
      <c r="X111" s="8"/>
      <c r="Y111" s="10"/>
    </row>
    <row r="112" spans="1:25" ht="27.6" x14ac:dyDescent="0.3">
      <c r="A112" s="7">
        <v>109</v>
      </c>
      <c r="B112" s="8" t="s">
        <v>512</v>
      </c>
      <c r="C112" s="20" t="s">
        <v>500</v>
      </c>
      <c r="D112" s="20" t="s">
        <v>508</v>
      </c>
      <c r="E112" s="10" t="s">
        <v>513</v>
      </c>
      <c r="F112" s="10" t="s">
        <v>514</v>
      </c>
      <c r="G112" s="7" t="s">
        <v>383</v>
      </c>
      <c r="H112" s="10" t="s">
        <v>117</v>
      </c>
      <c r="I112" s="7"/>
      <c r="J112" s="7"/>
      <c r="K112" s="7" t="s">
        <v>511</v>
      </c>
      <c r="L112" s="7" t="s">
        <v>511</v>
      </c>
      <c r="M112" s="7" t="s">
        <v>511</v>
      </c>
      <c r="N112" s="7"/>
      <c r="O112" s="7">
        <v>3</v>
      </c>
      <c r="P112" s="7"/>
      <c r="Q112" s="10"/>
      <c r="R112" s="8" t="s">
        <v>119</v>
      </c>
      <c r="S112" s="8" t="s">
        <v>196</v>
      </c>
      <c r="T112" s="7" t="s">
        <v>385</v>
      </c>
      <c r="U112" s="7"/>
      <c r="V112" s="8"/>
      <c r="W112" s="7"/>
      <c r="X112" s="8"/>
      <c r="Y112" s="10"/>
    </row>
    <row r="113" spans="1:25" ht="27.6" x14ac:dyDescent="0.3">
      <c r="A113" s="7">
        <v>110</v>
      </c>
      <c r="B113" s="8" t="s">
        <v>515</v>
      </c>
      <c r="C113" s="20" t="s">
        <v>500</v>
      </c>
      <c r="D113" s="20" t="s">
        <v>508</v>
      </c>
      <c r="E113" s="10" t="s">
        <v>516</v>
      </c>
      <c r="F113" s="10" t="s">
        <v>517</v>
      </c>
      <c r="G113" s="7" t="s">
        <v>383</v>
      </c>
      <c r="H113" s="10" t="s">
        <v>117</v>
      </c>
      <c r="I113" s="7"/>
      <c r="J113" s="7"/>
      <c r="K113" s="7" t="s">
        <v>511</v>
      </c>
      <c r="L113" s="7" t="s">
        <v>511</v>
      </c>
      <c r="M113" s="7" t="s">
        <v>511</v>
      </c>
      <c r="N113" s="7"/>
      <c r="O113" s="7">
        <v>3</v>
      </c>
      <c r="P113" s="7"/>
      <c r="Q113" s="10"/>
      <c r="R113" s="8" t="s">
        <v>119</v>
      </c>
      <c r="S113" s="8" t="s">
        <v>196</v>
      </c>
      <c r="T113" s="7" t="s">
        <v>385</v>
      </c>
      <c r="U113" s="7"/>
      <c r="V113" s="8"/>
      <c r="W113" s="7"/>
      <c r="X113" s="8"/>
      <c r="Y113" s="10"/>
    </row>
    <row r="114" spans="1:25" ht="27.6" x14ac:dyDescent="0.3">
      <c r="A114" s="7">
        <v>111</v>
      </c>
      <c r="B114" s="8" t="s">
        <v>518</v>
      </c>
      <c r="C114" s="20" t="s">
        <v>500</v>
      </c>
      <c r="D114" s="20" t="s">
        <v>519</v>
      </c>
      <c r="E114" s="10" t="s">
        <v>520</v>
      </c>
      <c r="F114" s="10" t="s">
        <v>521</v>
      </c>
      <c r="G114" s="7" t="s">
        <v>468</v>
      </c>
      <c r="H114" s="10" t="s">
        <v>117</v>
      </c>
      <c r="I114" s="7"/>
      <c r="J114" s="7"/>
      <c r="K114" s="7" t="s">
        <v>522</v>
      </c>
      <c r="L114" s="7" t="s">
        <v>522</v>
      </c>
      <c r="M114" s="7" t="s">
        <v>522</v>
      </c>
      <c r="N114" s="7"/>
      <c r="O114" s="7">
        <v>3</v>
      </c>
      <c r="P114" s="7"/>
      <c r="Q114" s="10"/>
      <c r="R114" s="8" t="s">
        <v>119</v>
      </c>
      <c r="S114" s="8" t="s">
        <v>196</v>
      </c>
      <c r="T114" s="7" t="s">
        <v>385</v>
      </c>
      <c r="U114" s="7"/>
      <c r="V114" s="8"/>
      <c r="W114" s="7"/>
      <c r="X114" s="8"/>
      <c r="Y114" s="10"/>
    </row>
    <row r="115" spans="1:25" ht="27.6" x14ac:dyDescent="0.3">
      <c r="A115" s="7">
        <v>112</v>
      </c>
      <c r="B115" s="8" t="s">
        <v>523</v>
      </c>
      <c r="C115" s="20" t="s">
        <v>500</v>
      </c>
      <c r="D115" s="20" t="s">
        <v>519</v>
      </c>
      <c r="E115" s="10" t="s">
        <v>524</v>
      </c>
      <c r="F115" s="10" t="s">
        <v>525</v>
      </c>
      <c r="G115" s="7" t="s">
        <v>468</v>
      </c>
      <c r="H115" s="10" t="s">
        <v>117</v>
      </c>
      <c r="I115" s="7"/>
      <c r="J115" s="7"/>
      <c r="K115" s="7" t="s">
        <v>522</v>
      </c>
      <c r="L115" s="7" t="s">
        <v>522</v>
      </c>
      <c r="M115" s="7" t="s">
        <v>522</v>
      </c>
      <c r="N115" s="7"/>
      <c r="O115" s="7">
        <v>3</v>
      </c>
      <c r="P115" s="7"/>
      <c r="Q115" s="10"/>
      <c r="R115" s="8" t="s">
        <v>119</v>
      </c>
      <c r="S115" s="8" t="s">
        <v>196</v>
      </c>
      <c r="T115" s="7" t="s">
        <v>385</v>
      </c>
      <c r="U115" s="7"/>
      <c r="V115" s="8"/>
      <c r="W115" s="7"/>
      <c r="X115" s="8"/>
      <c r="Y115" s="10"/>
    </row>
    <row r="116" spans="1:25" ht="41.4" x14ac:dyDescent="0.3">
      <c r="A116" s="7">
        <v>113</v>
      </c>
      <c r="B116" s="8" t="s">
        <v>526</v>
      </c>
      <c r="C116" s="21" t="s">
        <v>527</v>
      </c>
      <c r="D116" s="21" t="s">
        <v>528</v>
      </c>
      <c r="E116" s="10" t="s">
        <v>529</v>
      </c>
      <c r="F116" s="10" t="s">
        <v>530</v>
      </c>
      <c r="G116" s="7" t="s">
        <v>383</v>
      </c>
      <c r="H116" s="10" t="s">
        <v>117</v>
      </c>
      <c r="I116" s="7"/>
      <c r="J116" s="7"/>
      <c r="K116" s="7" t="s">
        <v>531</v>
      </c>
      <c r="L116" s="7" t="s">
        <v>531</v>
      </c>
      <c r="M116" s="7" t="s">
        <v>531</v>
      </c>
      <c r="N116" s="7"/>
      <c r="O116" s="7">
        <v>3</v>
      </c>
      <c r="P116" s="7"/>
      <c r="Q116" s="10"/>
      <c r="R116" s="8" t="s">
        <v>139</v>
      </c>
      <c r="S116" s="8" t="s">
        <v>140</v>
      </c>
      <c r="T116" s="7" t="s">
        <v>385</v>
      </c>
      <c r="U116" s="7"/>
      <c r="V116" s="8"/>
      <c r="W116" s="7"/>
      <c r="X116" s="8"/>
      <c r="Y116" s="10"/>
    </row>
    <row r="117" spans="1:25" x14ac:dyDescent="0.3">
      <c r="A117" s="7">
        <v>114</v>
      </c>
      <c r="B117" s="8" t="s">
        <v>532</v>
      </c>
      <c r="C117" s="21" t="s">
        <v>527</v>
      </c>
      <c r="D117" s="21" t="s">
        <v>528</v>
      </c>
      <c r="E117" s="10" t="s">
        <v>533</v>
      </c>
      <c r="F117" s="10" t="s">
        <v>534</v>
      </c>
      <c r="G117" s="7" t="s">
        <v>383</v>
      </c>
      <c r="H117" s="10" t="s">
        <v>117</v>
      </c>
      <c r="I117" s="7"/>
      <c r="J117" s="7"/>
      <c r="K117" s="7" t="s">
        <v>531</v>
      </c>
      <c r="L117" s="7" t="s">
        <v>531</v>
      </c>
      <c r="M117" s="7" t="s">
        <v>531</v>
      </c>
      <c r="N117" s="7"/>
      <c r="O117" s="7">
        <v>3</v>
      </c>
      <c r="P117" s="7"/>
      <c r="Q117" s="10"/>
      <c r="R117" s="8" t="s">
        <v>139</v>
      </c>
      <c r="S117" s="8" t="s">
        <v>140</v>
      </c>
      <c r="T117" s="7" t="s">
        <v>385</v>
      </c>
      <c r="U117" s="7"/>
      <c r="V117" s="8"/>
      <c r="W117" s="7"/>
      <c r="X117" s="8"/>
      <c r="Y117" s="10"/>
    </row>
    <row r="118" spans="1:25" x14ac:dyDescent="0.3">
      <c r="A118" s="7">
        <v>115</v>
      </c>
      <c r="B118" s="8" t="s">
        <v>535</v>
      </c>
      <c r="C118" s="21" t="s">
        <v>527</v>
      </c>
      <c r="D118" s="21" t="s">
        <v>536</v>
      </c>
      <c r="E118" s="10" t="s">
        <v>537</v>
      </c>
      <c r="F118" s="10" t="s">
        <v>538</v>
      </c>
      <c r="G118" s="7" t="s">
        <v>383</v>
      </c>
      <c r="H118" s="10" t="s">
        <v>117</v>
      </c>
      <c r="I118" s="7"/>
      <c r="J118" s="7"/>
      <c r="K118" s="7" t="s">
        <v>531</v>
      </c>
      <c r="L118" s="7" t="s">
        <v>531</v>
      </c>
      <c r="M118" s="7" t="s">
        <v>531</v>
      </c>
      <c r="N118" s="7"/>
      <c r="O118" s="7">
        <v>3</v>
      </c>
      <c r="P118" s="7"/>
      <c r="Q118" s="10"/>
      <c r="R118" s="8" t="s">
        <v>139</v>
      </c>
      <c r="S118" s="8" t="s">
        <v>140</v>
      </c>
      <c r="T118" s="7" t="s">
        <v>385</v>
      </c>
      <c r="U118" s="7"/>
      <c r="V118" s="8"/>
      <c r="W118" s="7"/>
      <c r="X118" s="8"/>
      <c r="Y118" s="10"/>
    </row>
    <row r="119" spans="1:25" x14ac:dyDescent="0.3">
      <c r="A119" s="7">
        <v>116</v>
      </c>
      <c r="B119" s="8" t="s">
        <v>539</v>
      </c>
      <c r="C119" s="21" t="s">
        <v>527</v>
      </c>
      <c r="D119" s="21" t="s">
        <v>536</v>
      </c>
      <c r="E119" s="10" t="s">
        <v>540</v>
      </c>
      <c r="F119" s="10" t="s">
        <v>541</v>
      </c>
      <c r="G119" s="7" t="s">
        <v>383</v>
      </c>
      <c r="H119" s="10" t="s">
        <v>117</v>
      </c>
      <c r="I119" s="7"/>
      <c r="J119" s="7"/>
      <c r="K119" s="7" t="s">
        <v>531</v>
      </c>
      <c r="L119" s="7" t="s">
        <v>531</v>
      </c>
      <c r="M119" s="7" t="s">
        <v>531</v>
      </c>
      <c r="N119" s="7"/>
      <c r="O119" s="7">
        <v>3</v>
      </c>
      <c r="P119" s="7"/>
      <c r="Q119" s="10"/>
      <c r="R119" s="8" t="s">
        <v>403</v>
      </c>
      <c r="S119" s="8" t="s">
        <v>140</v>
      </c>
      <c r="T119" s="7" t="s">
        <v>385</v>
      </c>
      <c r="U119" s="7"/>
      <c r="V119" s="8"/>
      <c r="W119" s="7"/>
      <c r="X119" s="8"/>
      <c r="Y119" s="10"/>
    </row>
  </sheetData>
  <autoFilter ref="A3:Y119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Listes!$B$4:$B$7</xm:f>
          </x14:formula1>
          <xm:sqref>G4:G119</xm:sqref>
        </x14:dataValidation>
        <x14:dataValidation type="list" allowBlank="1" xr:uid="{00000000-0002-0000-0100-000001000000}">
          <x14:formula1>
            <xm:f>Listes!$C$4:$C$9</xm:f>
          </x14:formula1>
          <xm:sqref>R4:R119</xm:sqref>
        </x14:dataValidation>
        <x14:dataValidation type="list" allowBlank="1" xr:uid="{00000000-0002-0000-0100-000002000000}">
          <x14:formula1>
            <xm:f>Listes!$D$4:$D$7</xm:f>
          </x14:formula1>
          <xm:sqref>S4:S119</xm:sqref>
        </x14:dataValidation>
        <x14:dataValidation type="list" allowBlank="1" xr:uid="{00000000-0002-0000-0100-000003000000}">
          <x14:formula1>
            <xm:f>Listes!$E$4:$E$6</xm:f>
          </x14:formula1>
          <xm:sqref>T4:T119</xm:sqref>
        </x14:dataValidation>
        <x14:dataValidation type="list" allowBlank="1" xr:uid="{00000000-0002-0000-0100-000004000000}">
          <x14:formula1>
            <xm:f>Listes!$F$4:$F$7</xm:f>
          </x14:formula1>
          <xm:sqref>W4:W119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40" customWidth="1"/>
    <col min="4" max="4" width="80" customWidth="1"/>
    <col min="5" max="5" width="20" customWidth="1"/>
    <col min="6" max="6" width="18" customWidth="1"/>
    <col min="7" max="7" width="14" customWidth="1"/>
    <col min="8" max="8" width="26" customWidth="1"/>
  </cols>
  <sheetData>
    <row r="1" spans="1:8" ht="24" customHeight="1" x14ac:dyDescent="0.4">
      <c r="A1" s="1" t="s">
        <v>542</v>
      </c>
      <c r="H1" s="2" t="s">
        <v>1</v>
      </c>
    </row>
    <row r="3" spans="1:8" ht="34.049999999999997" customHeight="1" x14ac:dyDescent="0.3">
      <c r="A3" s="6" t="s">
        <v>543</v>
      </c>
      <c r="B3" s="6" t="s">
        <v>89</v>
      </c>
      <c r="C3" s="6" t="s">
        <v>90</v>
      </c>
      <c r="D3" s="6" t="s">
        <v>544</v>
      </c>
      <c r="E3" s="6" t="s">
        <v>103</v>
      </c>
      <c r="F3" s="6" t="s">
        <v>545</v>
      </c>
      <c r="G3" s="6" t="s">
        <v>108</v>
      </c>
      <c r="H3" s="6" t="s">
        <v>109</v>
      </c>
    </row>
    <row r="4" spans="1:8" ht="27.6" x14ac:dyDescent="0.3">
      <c r="A4" s="7">
        <v>1</v>
      </c>
      <c r="B4" s="10" t="s">
        <v>546</v>
      </c>
      <c r="C4" s="10" t="s">
        <v>252</v>
      </c>
      <c r="D4" s="10" t="s">
        <v>253</v>
      </c>
      <c r="E4" s="8" t="s">
        <v>180</v>
      </c>
      <c r="F4" s="8"/>
      <c r="G4" s="8"/>
      <c r="H4" s="8"/>
    </row>
    <row r="5" spans="1:8" ht="27.6" x14ac:dyDescent="0.3">
      <c r="A5" s="7">
        <v>2</v>
      </c>
      <c r="B5" s="10" t="s">
        <v>546</v>
      </c>
      <c r="C5" s="10" t="s">
        <v>257</v>
      </c>
      <c r="D5" s="10" t="s">
        <v>258</v>
      </c>
      <c r="E5" s="8" t="s">
        <v>180</v>
      </c>
      <c r="F5" s="8"/>
      <c r="G5" s="8"/>
      <c r="H5" s="8"/>
    </row>
    <row r="6" spans="1:8" ht="27.6" x14ac:dyDescent="0.3">
      <c r="A6" s="7">
        <v>3</v>
      </c>
      <c r="B6" s="10" t="s">
        <v>260</v>
      </c>
      <c r="C6" s="10" t="s">
        <v>261</v>
      </c>
      <c r="D6" s="10" t="s">
        <v>262</v>
      </c>
      <c r="E6" s="8" t="s">
        <v>180</v>
      </c>
      <c r="F6" s="8"/>
      <c r="G6" s="8"/>
      <c r="H6" s="8"/>
    </row>
    <row r="7" spans="1:8" x14ac:dyDescent="0.3">
      <c r="A7" s="7">
        <v>4</v>
      </c>
      <c r="B7" s="10" t="s">
        <v>260</v>
      </c>
      <c r="C7" s="10" t="s">
        <v>267</v>
      </c>
      <c r="D7" s="10" t="s">
        <v>268</v>
      </c>
      <c r="E7" s="8" t="s">
        <v>270</v>
      </c>
      <c r="F7" s="8"/>
      <c r="G7" s="8"/>
      <c r="H7" s="8"/>
    </row>
    <row r="8" spans="1:8" ht="27.6" x14ac:dyDescent="0.3">
      <c r="A8" s="7">
        <v>5</v>
      </c>
      <c r="B8" s="10" t="s">
        <v>304</v>
      </c>
      <c r="C8" s="10" t="s">
        <v>305</v>
      </c>
      <c r="D8" s="10" t="s">
        <v>306</v>
      </c>
      <c r="E8" s="8" t="s">
        <v>270</v>
      </c>
      <c r="F8" s="8"/>
      <c r="G8" s="8"/>
      <c r="H8" s="8"/>
    </row>
    <row r="9" spans="1:8" ht="27.6" x14ac:dyDescent="0.3">
      <c r="A9" s="7">
        <v>6</v>
      </c>
      <c r="B9" s="10" t="s">
        <v>304</v>
      </c>
      <c r="C9" s="10" t="s">
        <v>308</v>
      </c>
      <c r="D9" s="10" t="s">
        <v>309</v>
      </c>
      <c r="E9" s="8" t="s">
        <v>270</v>
      </c>
      <c r="F9" s="8"/>
      <c r="G9" s="8"/>
      <c r="H9" s="8"/>
    </row>
    <row r="10" spans="1:8" x14ac:dyDescent="0.3">
      <c r="A10" s="7">
        <v>7</v>
      </c>
      <c r="B10" s="10" t="s">
        <v>260</v>
      </c>
      <c r="C10" s="10" t="s">
        <v>272</v>
      </c>
      <c r="D10" s="10" t="s">
        <v>273</v>
      </c>
      <c r="E10" s="8" t="s">
        <v>270</v>
      </c>
      <c r="F10" s="8"/>
      <c r="G10" s="8"/>
      <c r="H10" s="8"/>
    </row>
    <row r="11" spans="1:8" x14ac:dyDescent="0.3">
      <c r="A11" s="7">
        <v>8</v>
      </c>
      <c r="B11" s="10" t="s">
        <v>260</v>
      </c>
      <c r="C11" s="10" t="s">
        <v>275</v>
      </c>
      <c r="D11" s="10" t="s">
        <v>276</v>
      </c>
      <c r="E11" s="8" t="s">
        <v>277</v>
      </c>
      <c r="F11" s="8"/>
      <c r="G11" s="8"/>
      <c r="H11" s="8"/>
    </row>
    <row r="12" spans="1:8" x14ac:dyDescent="0.3">
      <c r="A12" s="7">
        <v>9</v>
      </c>
      <c r="B12" s="10" t="s">
        <v>260</v>
      </c>
      <c r="C12" s="10" t="s">
        <v>279</v>
      </c>
      <c r="D12" s="10" t="s">
        <v>280</v>
      </c>
      <c r="E12" s="8" t="s">
        <v>270</v>
      </c>
      <c r="F12" s="8"/>
      <c r="G12" s="8"/>
      <c r="H12" s="8"/>
    </row>
    <row r="13" spans="1:8" x14ac:dyDescent="0.3">
      <c r="A13" s="7">
        <v>10</v>
      </c>
      <c r="B13" s="10" t="s">
        <v>304</v>
      </c>
      <c r="C13" s="10" t="s">
        <v>311</v>
      </c>
      <c r="D13" s="10" t="s">
        <v>312</v>
      </c>
      <c r="E13" s="8" t="s">
        <v>277</v>
      </c>
      <c r="F13" s="8"/>
      <c r="G13" s="8"/>
      <c r="H13" s="8"/>
    </row>
    <row r="14" spans="1:8" ht="27.6" x14ac:dyDescent="0.3">
      <c r="A14" s="7">
        <v>11</v>
      </c>
      <c r="B14" s="10" t="s">
        <v>547</v>
      </c>
      <c r="C14" s="10" t="s">
        <v>287</v>
      </c>
      <c r="D14" s="10" t="s">
        <v>288</v>
      </c>
      <c r="E14" s="8" t="s">
        <v>180</v>
      </c>
      <c r="F14" s="8"/>
      <c r="G14" s="8"/>
      <c r="H14" s="8"/>
    </row>
    <row r="15" spans="1:8" ht="27.6" x14ac:dyDescent="0.3">
      <c r="A15" s="7">
        <v>12</v>
      </c>
      <c r="B15" s="10" t="s">
        <v>547</v>
      </c>
      <c r="C15" s="10" t="s">
        <v>292</v>
      </c>
      <c r="D15" s="10" t="s">
        <v>293</v>
      </c>
      <c r="E15" s="8" t="s">
        <v>277</v>
      </c>
      <c r="F15" s="8"/>
      <c r="G15" s="8"/>
      <c r="H15" s="8"/>
    </row>
    <row r="16" spans="1:8" x14ac:dyDescent="0.3">
      <c r="A16" s="7">
        <v>13</v>
      </c>
      <c r="B16" s="10" t="s">
        <v>547</v>
      </c>
      <c r="C16" s="10" t="s">
        <v>297</v>
      </c>
      <c r="D16" s="10" t="s">
        <v>298</v>
      </c>
      <c r="E16" s="8" t="s">
        <v>277</v>
      </c>
      <c r="F16" s="8"/>
      <c r="G16" s="8"/>
      <c r="H16" s="8"/>
    </row>
    <row r="17" spans="1:8" ht="41.4" x14ac:dyDescent="0.3">
      <c r="A17" s="7">
        <v>14</v>
      </c>
      <c r="B17" s="10" t="s">
        <v>304</v>
      </c>
      <c r="C17" s="10" t="s">
        <v>314</v>
      </c>
      <c r="D17" s="10" t="s">
        <v>315</v>
      </c>
      <c r="E17" s="8" t="s">
        <v>317</v>
      </c>
      <c r="F17" s="8"/>
      <c r="G17" s="8"/>
      <c r="H17" s="8"/>
    </row>
    <row r="18" spans="1:8" ht="27.6" x14ac:dyDescent="0.3">
      <c r="A18" s="7">
        <v>15</v>
      </c>
      <c r="B18" s="10" t="s">
        <v>320</v>
      </c>
      <c r="C18" s="10" t="s">
        <v>321</v>
      </c>
      <c r="D18" s="10" t="s">
        <v>322</v>
      </c>
      <c r="E18" s="8" t="s">
        <v>180</v>
      </c>
      <c r="F18" s="8"/>
      <c r="G18" s="8"/>
      <c r="H18" s="8"/>
    </row>
    <row r="19" spans="1:8" ht="27.6" x14ac:dyDescent="0.3">
      <c r="A19" s="7">
        <v>16</v>
      </c>
      <c r="B19" s="10" t="s">
        <v>320</v>
      </c>
      <c r="C19" s="10" t="s">
        <v>324</v>
      </c>
      <c r="D19" s="10" t="s">
        <v>325</v>
      </c>
      <c r="E19" s="8" t="s">
        <v>180</v>
      </c>
      <c r="F19" s="8"/>
      <c r="G19" s="8"/>
      <c r="H19" s="8"/>
    </row>
    <row r="20" spans="1:8" x14ac:dyDescent="0.3">
      <c r="A20" s="7">
        <v>17</v>
      </c>
      <c r="B20" s="10" t="s">
        <v>327</v>
      </c>
      <c r="C20" s="10" t="s">
        <v>328</v>
      </c>
      <c r="D20" s="10" t="s">
        <v>329</v>
      </c>
      <c r="E20" s="8" t="s">
        <v>180</v>
      </c>
      <c r="F20" s="8"/>
      <c r="G20" s="8"/>
      <c r="H20" s="8"/>
    </row>
    <row r="21" spans="1:8" ht="27.6" x14ac:dyDescent="0.3">
      <c r="A21" s="7">
        <v>18</v>
      </c>
      <c r="B21" s="10" t="s">
        <v>327</v>
      </c>
      <c r="C21" s="10" t="s">
        <v>331</v>
      </c>
      <c r="D21" s="10" t="s">
        <v>332</v>
      </c>
      <c r="E21" s="8" t="s">
        <v>180</v>
      </c>
      <c r="F21" s="8"/>
      <c r="G21" s="8"/>
      <c r="H21" s="8"/>
    </row>
    <row r="22" spans="1:8" ht="27.6" x14ac:dyDescent="0.3">
      <c r="A22" s="7">
        <v>19</v>
      </c>
      <c r="B22" s="10" t="s">
        <v>327</v>
      </c>
      <c r="C22" s="10" t="s">
        <v>334</v>
      </c>
      <c r="D22" s="10" t="s">
        <v>335</v>
      </c>
      <c r="E22" s="8" t="s">
        <v>277</v>
      </c>
      <c r="F22" s="8"/>
      <c r="G22" s="8"/>
      <c r="H22" s="8"/>
    </row>
    <row r="24" spans="1:8" x14ac:dyDescent="0.3">
      <c r="A24" t="s">
        <v>548</v>
      </c>
    </row>
    <row r="25" spans="1:8" x14ac:dyDescent="0.3">
      <c r="A25" t="s">
        <v>549</v>
      </c>
    </row>
    <row r="26" spans="1:8" x14ac:dyDescent="0.3">
      <c r="A26" t="s">
        <v>550</v>
      </c>
    </row>
    <row r="27" spans="1:8" x14ac:dyDescent="0.3">
      <c r="A27" t="s">
        <v>551</v>
      </c>
    </row>
    <row r="28" spans="1:8" x14ac:dyDescent="0.3">
      <c r="A28" t="s">
        <v>552</v>
      </c>
    </row>
    <row r="29" spans="1:8" x14ac:dyDescent="0.3">
      <c r="A29" t="s">
        <v>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7"/>
  <sheetViews>
    <sheetView showGridLines="0" workbookViewId="0">
      <pane xSplit="3" ySplit="3" topLeftCell="D21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4" customWidth="1"/>
    <col min="4" max="4" width="10" customWidth="1"/>
    <col min="5" max="5" width="14" customWidth="1"/>
    <col min="6" max="6" width="34" customWidth="1"/>
    <col min="7" max="7" width="78" customWidth="1"/>
    <col min="8" max="8" width="11" customWidth="1"/>
    <col min="9" max="10" width="30" customWidth="1"/>
  </cols>
  <sheetData>
    <row r="1" spans="1:10" ht="24" customHeight="1" x14ac:dyDescent="0.4">
      <c r="A1" s="1" t="s">
        <v>554</v>
      </c>
      <c r="I1" s="2" t="s">
        <v>1</v>
      </c>
    </row>
    <row r="3" spans="1:10" ht="34.049999999999997" customHeight="1" x14ac:dyDescent="0.3">
      <c r="A3" s="6" t="s">
        <v>86</v>
      </c>
      <c r="B3" s="6" t="s">
        <v>555</v>
      </c>
      <c r="C3" s="6" t="s">
        <v>556</v>
      </c>
      <c r="D3" s="6" t="s">
        <v>557</v>
      </c>
      <c r="E3" s="6" t="s">
        <v>558</v>
      </c>
      <c r="F3" s="6" t="s">
        <v>559</v>
      </c>
      <c r="G3" s="6" t="s">
        <v>560</v>
      </c>
      <c r="H3" s="6" t="s">
        <v>561</v>
      </c>
      <c r="I3" s="6" t="s">
        <v>88</v>
      </c>
      <c r="J3" s="6" t="s">
        <v>89</v>
      </c>
    </row>
    <row r="4" spans="1:10" ht="27.6" x14ac:dyDescent="0.3">
      <c r="A4" s="7">
        <v>1</v>
      </c>
      <c r="B4" s="7" t="s">
        <v>562</v>
      </c>
      <c r="C4" s="10" t="s">
        <v>563</v>
      </c>
      <c r="D4" s="8" t="s">
        <v>564</v>
      </c>
      <c r="E4" s="8"/>
      <c r="F4" s="10" t="s">
        <v>565</v>
      </c>
      <c r="G4" s="10" t="s">
        <v>201</v>
      </c>
      <c r="H4" s="7" t="s">
        <v>197</v>
      </c>
      <c r="I4" s="10" t="s">
        <v>198</v>
      </c>
      <c r="J4" s="10" t="s">
        <v>199</v>
      </c>
    </row>
    <row r="5" spans="1:10" ht="27.6" x14ac:dyDescent="0.3">
      <c r="A5" s="7">
        <v>2</v>
      </c>
      <c r="B5" s="7" t="s">
        <v>562</v>
      </c>
      <c r="C5" s="10" t="s">
        <v>563</v>
      </c>
      <c r="D5" s="8" t="s">
        <v>564</v>
      </c>
      <c r="E5" s="8"/>
      <c r="F5" s="10" t="s">
        <v>565</v>
      </c>
      <c r="G5" s="10" t="s">
        <v>205</v>
      </c>
      <c r="H5" s="7" t="s">
        <v>203</v>
      </c>
      <c r="I5" s="10" t="s">
        <v>198</v>
      </c>
      <c r="J5" s="10" t="s">
        <v>199</v>
      </c>
    </row>
    <row r="6" spans="1:10" ht="27.6" x14ac:dyDescent="0.3">
      <c r="A6" s="7">
        <v>3</v>
      </c>
      <c r="B6" s="7" t="s">
        <v>562</v>
      </c>
      <c r="C6" s="10" t="s">
        <v>563</v>
      </c>
      <c r="D6" s="8" t="s">
        <v>564</v>
      </c>
      <c r="E6" s="8"/>
      <c r="F6" s="10" t="s">
        <v>565</v>
      </c>
      <c r="G6" s="10" t="s">
        <v>208</v>
      </c>
      <c r="H6" s="7" t="s">
        <v>206</v>
      </c>
      <c r="I6" s="10" t="s">
        <v>198</v>
      </c>
      <c r="J6" s="10" t="s">
        <v>199</v>
      </c>
    </row>
    <row r="7" spans="1:10" ht="27.6" x14ac:dyDescent="0.3">
      <c r="A7" s="7">
        <v>4</v>
      </c>
      <c r="B7" s="7" t="s">
        <v>562</v>
      </c>
      <c r="C7" s="10" t="s">
        <v>563</v>
      </c>
      <c r="D7" s="8" t="s">
        <v>564</v>
      </c>
      <c r="E7" s="8"/>
      <c r="F7" s="10" t="s">
        <v>565</v>
      </c>
      <c r="G7" s="10" t="s">
        <v>211</v>
      </c>
      <c r="H7" s="7" t="s">
        <v>209</v>
      </c>
      <c r="I7" s="10" t="s">
        <v>198</v>
      </c>
      <c r="J7" s="10" t="s">
        <v>199</v>
      </c>
    </row>
    <row r="8" spans="1:10" ht="27.6" x14ac:dyDescent="0.3">
      <c r="A8" s="7">
        <v>5</v>
      </c>
      <c r="B8" s="7" t="s">
        <v>562</v>
      </c>
      <c r="C8" s="10" t="s">
        <v>563</v>
      </c>
      <c r="D8" s="8" t="s">
        <v>564</v>
      </c>
      <c r="E8" s="8"/>
      <c r="F8" s="10" t="s">
        <v>566</v>
      </c>
      <c r="G8" s="10" t="s">
        <v>340</v>
      </c>
      <c r="H8" s="7" t="s">
        <v>336</v>
      </c>
      <c r="I8" s="10" t="s">
        <v>337</v>
      </c>
      <c r="J8" s="10" t="s">
        <v>338</v>
      </c>
    </row>
    <row r="9" spans="1:10" ht="27.6" x14ac:dyDescent="0.3">
      <c r="A9" s="7">
        <v>6</v>
      </c>
      <c r="B9" s="7" t="s">
        <v>562</v>
      </c>
      <c r="C9" s="10" t="s">
        <v>563</v>
      </c>
      <c r="D9" s="8" t="s">
        <v>564</v>
      </c>
      <c r="E9" s="8"/>
      <c r="F9" s="10" t="s">
        <v>566</v>
      </c>
      <c r="G9" s="10" t="s">
        <v>343</v>
      </c>
      <c r="H9" s="7" t="s">
        <v>341</v>
      </c>
      <c r="I9" s="10" t="s">
        <v>337</v>
      </c>
      <c r="J9" s="10" t="s">
        <v>338</v>
      </c>
    </row>
    <row r="10" spans="1:10" ht="27.6" x14ac:dyDescent="0.3">
      <c r="A10" s="7">
        <v>7</v>
      </c>
      <c r="B10" s="7" t="s">
        <v>562</v>
      </c>
      <c r="C10" s="10" t="s">
        <v>563</v>
      </c>
      <c r="D10" s="8" t="s">
        <v>564</v>
      </c>
      <c r="E10" s="8"/>
      <c r="F10" s="10" t="s">
        <v>566</v>
      </c>
      <c r="G10" s="10" t="s">
        <v>346</v>
      </c>
      <c r="H10" s="7" t="s">
        <v>344</v>
      </c>
      <c r="I10" s="10" t="s">
        <v>337</v>
      </c>
      <c r="J10" s="10" t="s">
        <v>338</v>
      </c>
    </row>
    <row r="11" spans="1:10" x14ac:dyDescent="0.3">
      <c r="A11" s="7">
        <v>8</v>
      </c>
      <c r="B11" s="7" t="s">
        <v>562</v>
      </c>
      <c r="C11" s="10" t="s">
        <v>563</v>
      </c>
      <c r="D11" s="8" t="s">
        <v>564</v>
      </c>
      <c r="E11" s="8"/>
      <c r="F11" s="10" t="s">
        <v>348</v>
      </c>
      <c r="G11" s="10" t="s">
        <v>350</v>
      </c>
      <c r="H11" s="7" t="s">
        <v>347</v>
      </c>
      <c r="I11" s="10" t="s">
        <v>337</v>
      </c>
      <c r="J11" s="10" t="s">
        <v>348</v>
      </c>
    </row>
    <row r="12" spans="1:10" x14ac:dyDescent="0.3">
      <c r="A12" s="7">
        <v>9</v>
      </c>
      <c r="B12" s="7" t="s">
        <v>562</v>
      </c>
      <c r="C12" s="10" t="s">
        <v>563</v>
      </c>
      <c r="D12" s="8" t="s">
        <v>564</v>
      </c>
      <c r="E12" s="8"/>
      <c r="F12" s="10" t="s">
        <v>348</v>
      </c>
      <c r="G12" s="10" t="s">
        <v>354</v>
      </c>
      <c r="H12" s="7" t="s">
        <v>352</v>
      </c>
      <c r="I12" s="10" t="s">
        <v>337</v>
      </c>
      <c r="J12" s="10" t="s">
        <v>348</v>
      </c>
    </row>
    <row r="13" spans="1:10" ht="27.6" x14ac:dyDescent="0.3">
      <c r="A13" s="7">
        <v>10</v>
      </c>
      <c r="B13" s="7" t="s">
        <v>562</v>
      </c>
      <c r="C13" s="10" t="s">
        <v>563</v>
      </c>
      <c r="D13" s="8" t="s">
        <v>567</v>
      </c>
      <c r="E13" s="8"/>
      <c r="F13" s="10" t="s">
        <v>568</v>
      </c>
      <c r="G13" s="10" t="s">
        <v>358</v>
      </c>
      <c r="H13" s="7" t="s">
        <v>355</v>
      </c>
      <c r="I13" s="10" t="s">
        <v>337</v>
      </c>
      <c r="J13" s="10" t="s">
        <v>356</v>
      </c>
    </row>
    <row r="14" spans="1:10" ht="27.6" x14ac:dyDescent="0.3">
      <c r="A14" s="7">
        <v>11</v>
      </c>
      <c r="B14" s="7" t="s">
        <v>562</v>
      </c>
      <c r="C14" s="10" t="s">
        <v>563</v>
      </c>
      <c r="D14" s="8" t="s">
        <v>567</v>
      </c>
      <c r="E14" s="8"/>
      <c r="F14" s="10" t="s">
        <v>568</v>
      </c>
      <c r="G14" s="10" t="s">
        <v>362</v>
      </c>
      <c r="H14" s="7" t="s">
        <v>360</v>
      </c>
      <c r="I14" s="10" t="s">
        <v>337</v>
      </c>
      <c r="J14" s="10" t="s">
        <v>356</v>
      </c>
    </row>
    <row r="15" spans="1:10" ht="27.6" x14ac:dyDescent="0.3">
      <c r="A15" s="7">
        <v>12</v>
      </c>
      <c r="B15" s="7" t="s">
        <v>562</v>
      </c>
      <c r="C15" s="10" t="s">
        <v>563</v>
      </c>
      <c r="D15" s="8" t="s">
        <v>567</v>
      </c>
      <c r="E15" s="8"/>
      <c r="F15" s="10" t="s">
        <v>569</v>
      </c>
      <c r="G15" s="10" t="s">
        <v>366</v>
      </c>
      <c r="H15" s="7" t="s">
        <v>363</v>
      </c>
      <c r="I15" s="10" t="s">
        <v>337</v>
      </c>
      <c r="J15" s="10" t="s">
        <v>364</v>
      </c>
    </row>
    <row r="16" spans="1:10" ht="27.6" x14ac:dyDescent="0.3">
      <c r="A16" s="7">
        <v>13</v>
      </c>
      <c r="B16" s="7" t="s">
        <v>562</v>
      </c>
      <c r="C16" s="10" t="s">
        <v>563</v>
      </c>
      <c r="D16" s="8" t="s">
        <v>567</v>
      </c>
      <c r="E16" s="8"/>
      <c r="F16" s="10" t="s">
        <v>569</v>
      </c>
      <c r="G16" s="10" t="s">
        <v>369</v>
      </c>
      <c r="H16" s="7" t="s">
        <v>367</v>
      </c>
      <c r="I16" s="10" t="s">
        <v>337</v>
      </c>
      <c r="J16" s="10" t="s">
        <v>364</v>
      </c>
    </row>
    <row r="17" spans="1:10" x14ac:dyDescent="0.3">
      <c r="A17" s="7">
        <v>14</v>
      </c>
      <c r="B17" s="7" t="s">
        <v>562</v>
      </c>
      <c r="C17" s="10" t="s">
        <v>563</v>
      </c>
      <c r="D17" s="8" t="s">
        <v>567</v>
      </c>
      <c r="E17" s="8"/>
      <c r="F17" s="10" t="s">
        <v>570</v>
      </c>
      <c r="G17" s="10" t="s">
        <v>372</v>
      </c>
      <c r="H17" s="7" t="s">
        <v>370</v>
      </c>
      <c r="I17" s="10" t="s">
        <v>337</v>
      </c>
      <c r="J17" s="10" t="s">
        <v>364</v>
      </c>
    </row>
    <row r="18" spans="1:10" x14ac:dyDescent="0.3">
      <c r="A18" s="7">
        <v>15</v>
      </c>
      <c r="B18" s="7" t="s">
        <v>562</v>
      </c>
      <c r="C18" s="10" t="s">
        <v>563</v>
      </c>
      <c r="D18" s="8" t="s">
        <v>567</v>
      </c>
      <c r="E18" s="8"/>
      <c r="F18" s="10" t="s">
        <v>570</v>
      </c>
      <c r="G18" s="10" t="s">
        <v>374</v>
      </c>
      <c r="H18" s="7" t="s">
        <v>373</v>
      </c>
      <c r="I18" s="10" t="s">
        <v>337</v>
      </c>
      <c r="J18" s="10" t="s">
        <v>364</v>
      </c>
    </row>
    <row r="19" spans="1:10" x14ac:dyDescent="0.3">
      <c r="A19" s="7">
        <v>16</v>
      </c>
      <c r="B19" s="7" t="s">
        <v>562</v>
      </c>
      <c r="C19" s="10" t="s">
        <v>563</v>
      </c>
      <c r="D19" s="8" t="s">
        <v>567</v>
      </c>
      <c r="E19" s="8"/>
      <c r="F19" s="10" t="s">
        <v>377</v>
      </c>
      <c r="G19" s="10" t="s">
        <v>378</v>
      </c>
      <c r="H19" s="7" t="s">
        <v>375</v>
      </c>
      <c r="I19" s="10" t="s">
        <v>337</v>
      </c>
      <c r="J19" s="10" t="s">
        <v>376</v>
      </c>
    </row>
    <row r="20" spans="1:10" x14ac:dyDescent="0.3">
      <c r="A20" s="7">
        <v>17</v>
      </c>
      <c r="B20" s="7" t="s">
        <v>562</v>
      </c>
      <c r="C20" s="10" t="s">
        <v>563</v>
      </c>
      <c r="D20" s="8" t="s">
        <v>571</v>
      </c>
      <c r="E20" s="8"/>
      <c r="F20" s="10" t="s">
        <v>572</v>
      </c>
      <c r="G20" s="10" t="s">
        <v>282</v>
      </c>
      <c r="H20" s="7" t="s">
        <v>264</v>
      </c>
      <c r="I20" s="10" t="s">
        <v>250</v>
      </c>
      <c r="J20" s="10" t="s">
        <v>260</v>
      </c>
    </row>
    <row r="21" spans="1:10" x14ac:dyDescent="0.3">
      <c r="A21" s="7">
        <v>18</v>
      </c>
      <c r="B21" s="7" t="s">
        <v>562</v>
      </c>
      <c r="C21" s="10" t="s">
        <v>563</v>
      </c>
      <c r="D21" s="8" t="s">
        <v>571</v>
      </c>
      <c r="E21" s="8"/>
      <c r="F21" s="10" t="s">
        <v>572</v>
      </c>
      <c r="G21" s="10" t="s">
        <v>300</v>
      </c>
      <c r="H21" s="7" t="s">
        <v>289</v>
      </c>
      <c r="I21" s="10" t="s">
        <v>250</v>
      </c>
      <c r="J21" s="10" t="s">
        <v>286</v>
      </c>
    </row>
    <row r="22" spans="1:10" x14ac:dyDescent="0.3">
      <c r="A22" s="7">
        <v>19</v>
      </c>
      <c r="B22" s="7" t="s">
        <v>562</v>
      </c>
      <c r="C22" s="10" t="s">
        <v>563</v>
      </c>
      <c r="D22" s="8" t="s">
        <v>571</v>
      </c>
      <c r="E22" s="8"/>
      <c r="F22" s="10" t="s">
        <v>573</v>
      </c>
      <c r="G22" s="10" t="s">
        <v>402</v>
      </c>
      <c r="H22" s="7" t="s">
        <v>398</v>
      </c>
      <c r="I22" s="10" t="s">
        <v>399</v>
      </c>
      <c r="J22" s="10" t="s">
        <v>400</v>
      </c>
    </row>
    <row r="23" spans="1:10" x14ac:dyDescent="0.3">
      <c r="A23" s="7">
        <v>20</v>
      </c>
      <c r="B23" s="7" t="s">
        <v>562</v>
      </c>
      <c r="C23" s="10" t="s">
        <v>563</v>
      </c>
      <c r="D23" s="8" t="s">
        <v>571</v>
      </c>
      <c r="E23" s="8"/>
      <c r="F23" s="10" t="s">
        <v>573</v>
      </c>
      <c r="G23" s="10" t="s">
        <v>406</v>
      </c>
      <c r="H23" s="7" t="s">
        <v>404</v>
      </c>
      <c r="I23" s="10" t="s">
        <v>399</v>
      </c>
      <c r="J23" s="10" t="s">
        <v>400</v>
      </c>
    </row>
    <row r="24" spans="1:10" x14ac:dyDescent="0.3">
      <c r="A24" s="7">
        <v>21</v>
      </c>
      <c r="B24" s="7" t="s">
        <v>562</v>
      </c>
      <c r="C24" s="10" t="s">
        <v>563</v>
      </c>
      <c r="D24" s="8" t="s">
        <v>571</v>
      </c>
      <c r="E24" s="8"/>
      <c r="F24" s="10" t="s">
        <v>573</v>
      </c>
      <c r="G24" s="10" t="s">
        <v>409</v>
      </c>
      <c r="H24" s="7" t="s">
        <v>407</v>
      </c>
      <c r="I24" s="10" t="s">
        <v>399</v>
      </c>
      <c r="J24" s="10" t="s">
        <v>400</v>
      </c>
    </row>
    <row r="25" spans="1:10" x14ac:dyDescent="0.3">
      <c r="A25" s="7">
        <v>22</v>
      </c>
      <c r="B25" s="7" t="s">
        <v>562</v>
      </c>
      <c r="C25" s="10" t="s">
        <v>563</v>
      </c>
      <c r="D25" s="8" t="s">
        <v>571</v>
      </c>
      <c r="E25" s="8"/>
      <c r="F25" s="10" t="s">
        <v>574</v>
      </c>
      <c r="G25" s="10" t="s">
        <v>413</v>
      </c>
      <c r="H25" s="7" t="s">
        <v>410</v>
      </c>
      <c r="I25" s="10" t="s">
        <v>399</v>
      </c>
      <c r="J25" s="10" t="s">
        <v>411</v>
      </c>
    </row>
    <row r="26" spans="1:10" x14ac:dyDescent="0.3">
      <c r="A26" s="7">
        <v>23</v>
      </c>
      <c r="B26" s="7" t="s">
        <v>562</v>
      </c>
      <c r="C26" s="10" t="s">
        <v>563</v>
      </c>
      <c r="D26" s="8" t="s">
        <v>571</v>
      </c>
      <c r="E26" s="8"/>
      <c r="F26" s="10" t="s">
        <v>574</v>
      </c>
      <c r="G26" s="10" t="s">
        <v>417</v>
      </c>
      <c r="H26" s="7" t="s">
        <v>415</v>
      </c>
      <c r="I26" s="10" t="s">
        <v>399</v>
      </c>
      <c r="J26" s="10" t="s">
        <v>411</v>
      </c>
    </row>
    <row r="27" spans="1:10" ht="27.6" x14ac:dyDescent="0.3">
      <c r="A27" s="7">
        <v>24</v>
      </c>
      <c r="B27" s="7" t="s">
        <v>575</v>
      </c>
      <c r="C27" s="10" t="s">
        <v>576</v>
      </c>
      <c r="D27" s="8" t="s">
        <v>564</v>
      </c>
      <c r="E27" s="8"/>
      <c r="F27" s="10" t="s">
        <v>572</v>
      </c>
      <c r="G27" s="10" t="s">
        <v>302</v>
      </c>
      <c r="H27" s="7" t="s">
        <v>294</v>
      </c>
      <c r="I27" s="10" t="s">
        <v>250</v>
      </c>
      <c r="J27" s="10" t="s">
        <v>286</v>
      </c>
    </row>
    <row r="28" spans="1:10" ht="27.6" x14ac:dyDescent="0.3">
      <c r="A28" s="7">
        <v>25</v>
      </c>
      <c r="B28" s="7" t="s">
        <v>575</v>
      </c>
      <c r="C28" s="10" t="s">
        <v>576</v>
      </c>
      <c r="D28" s="8" t="s">
        <v>564</v>
      </c>
      <c r="E28" s="8"/>
      <c r="F28" s="10" t="s">
        <v>577</v>
      </c>
      <c r="G28" s="10" t="s">
        <v>435</v>
      </c>
      <c r="H28" s="7" t="s">
        <v>431</v>
      </c>
      <c r="I28" s="10" t="s">
        <v>432</v>
      </c>
      <c r="J28" s="10" t="s">
        <v>433</v>
      </c>
    </row>
    <row r="29" spans="1:10" ht="27.6" x14ac:dyDescent="0.3">
      <c r="A29" s="7">
        <v>26</v>
      </c>
      <c r="B29" s="7" t="s">
        <v>575</v>
      </c>
      <c r="C29" s="10" t="s">
        <v>576</v>
      </c>
      <c r="D29" s="8" t="s">
        <v>564</v>
      </c>
      <c r="E29" s="8"/>
      <c r="F29" s="10" t="s">
        <v>577</v>
      </c>
      <c r="G29" s="10" t="s">
        <v>439</v>
      </c>
      <c r="H29" s="7" t="s">
        <v>437</v>
      </c>
      <c r="I29" s="10" t="s">
        <v>432</v>
      </c>
      <c r="J29" s="10" t="s">
        <v>433</v>
      </c>
    </row>
    <row r="30" spans="1:10" ht="27.6" x14ac:dyDescent="0.3">
      <c r="A30" s="7">
        <v>27</v>
      </c>
      <c r="B30" s="7" t="s">
        <v>575</v>
      </c>
      <c r="C30" s="10" t="s">
        <v>576</v>
      </c>
      <c r="D30" s="8" t="s">
        <v>564</v>
      </c>
      <c r="E30" s="8"/>
      <c r="F30" s="10" t="s">
        <v>578</v>
      </c>
      <c r="G30" s="10" t="s">
        <v>442</v>
      </c>
      <c r="H30" s="7" t="s">
        <v>316</v>
      </c>
      <c r="I30" s="10" t="s">
        <v>432</v>
      </c>
      <c r="J30" s="10" t="s">
        <v>440</v>
      </c>
    </row>
    <row r="31" spans="1:10" x14ac:dyDescent="0.3">
      <c r="A31" s="7">
        <v>28</v>
      </c>
      <c r="B31" s="7" t="s">
        <v>575</v>
      </c>
      <c r="C31" s="10" t="s">
        <v>576</v>
      </c>
      <c r="D31" s="8" t="s">
        <v>567</v>
      </c>
      <c r="E31" s="8"/>
      <c r="F31" s="10" t="s">
        <v>579</v>
      </c>
      <c r="G31" s="10" t="s">
        <v>453</v>
      </c>
      <c r="H31" s="7" t="s">
        <v>450</v>
      </c>
      <c r="I31" s="10" t="s">
        <v>451</v>
      </c>
      <c r="J31" s="10" t="s">
        <v>452</v>
      </c>
    </row>
    <row r="32" spans="1:10" ht="27.6" x14ac:dyDescent="0.3">
      <c r="A32" s="7">
        <v>29</v>
      </c>
      <c r="B32" s="7" t="s">
        <v>575</v>
      </c>
      <c r="C32" s="10" t="s">
        <v>576</v>
      </c>
      <c r="D32" s="8" t="s">
        <v>567</v>
      </c>
      <c r="E32" s="8"/>
      <c r="F32" s="10" t="s">
        <v>580</v>
      </c>
      <c r="G32" s="10" t="s">
        <v>458</v>
      </c>
      <c r="H32" s="7" t="s">
        <v>456</v>
      </c>
      <c r="I32" s="10" t="s">
        <v>451</v>
      </c>
      <c r="J32" s="10" t="s">
        <v>457</v>
      </c>
    </row>
    <row r="33" spans="1:10" ht="27.6" x14ac:dyDescent="0.3">
      <c r="A33" s="7">
        <v>30</v>
      </c>
      <c r="B33" s="7" t="s">
        <v>575</v>
      </c>
      <c r="C33" s="10" t="s">
        <v>576</v>
      </c>
      <c r="D33" s="8" t="s">
        <v>567</v>
      </c>
      <c r="E33" s="8"/>
      <c r="F33" s="10" t="s">
        <v>460</v>
      </c>
      <c r="G33" s="10" t="s">
        <v>461</v>
      </c>
      <c r="H33" s="7" t="s">
        <v>459</v>
      </c>
      <c r="I33" s="10" t="s">
        <v>451</v>
      </c>
      <c r="J33" s="10" t="s">
        <v>460</v>
      </c>
    </row>
    <row r="34" spans="1:10" ht="27.6" x14ac:dyDescent="0.3">
      <c r="A34" s="7">
        <v>31</v>
      </c>
      <c r="B34" s="7" t="s">
        <v>575</v>
      </c>
      <c r="C34" s="10" t="s">
        <v>576</v>
      </c>
      <c r="D34" s="8" t="s">
        <v>571</v>
      </c>
      <c r="E34" s="8"/>
      <c r="F34" s="10" t="s">
        <v>581</v>
      </c>
      <c r="G34" s="10" t="s">
        <v>503</v>
      </c>
      <c r="H34" s="7" t="s">
        <v>499</v>
      </c>
      <c r="I34" s="10" t="s">
        <v>500</v>
      </c>
      <c r="J34" s="10" t="s">
        <v>501</v>
      </c>
    </row>
    <row r="35" spans="1:10" ht="27.6" x14ac:dyDescent="0.3">
      <c r="A35" s="7">
        <v>32</v>
      </c>
      <c r="B35" s="7" t="s">
        <v>575</v>
      </c>
      <c r="C35" s="10" t="s">
        <v>576</v>
      </c>
      <c r="D35" s="8" t="s">
        <v>571</v>
      </c>
      <c r="E35" s="8"/>
      <c r="F35" s="10" t="s">
        <v>581</v>
      </c>
      <c r="G35" s="10" t="s">
        <v>506</v>
      </c>
      <c r="H35" s="7" t="s">
        <v>504</v>
      </c>
      <c r="I35" s="10" t="s">
        <v>500</v>
      </c>
      <c r="J35" s="10" t="s">
        <v>501</v>
      </c>
    </row>
    <row r="36" spans="1:10" x14ac:dyDescent="0.3">
      <c r="A36" s="7">
        <v>33</v>
      </c>
      <c r="B36" s="7" t="s">
        <v>575</v>
      </c>
      <c r="C36" s="10" t="s">
        <v>576</v>
      </c>
      <c r="D36" s="8" t="s">
        <v>571</v>
      </c>
      <c r="E36" s="8"/>
      <c r="F36" s="10" t="s">
        <v>582</v>
      </c>
      <c r="G36" s="10" t="s">
        <v>467</v>
      </c>
      <c r="H36" s="7" t="s">
        <v>463</v>
      </c>
      <c r="I36" s="10" t="s">
        <v>464</v>
      </c>
      <c r="J36" s="10" t="s">
        <v>465</v>
      </c>
    </row>
    <row r="37" spans="1:10" ht="27.6" x14ac:dyDescent="0.3">
      <c r="A37" s="7">
        <v>34</v>
      </c>
      <c r="B37" s="7" t="s">
        <v>575</v>
      </c>
      <c r="C37" s="10" t="s">
        <v>576</v>
      </c>
      <c r="D37" s="8" t="s">
        <v>571</v>
      </c>
      <c r="E37" s="8"/>
      <c r="F37" s="10" t="s">
        <v>582</v>
      </c>
      <c r="G37" s="10" t="s">
        <v>472</v>
      </c>
      <c r="H37" s="7" t="s">
        <v>470</v>
      </c>
      <c r="I37" s="10" t="s">
        <v>464</v>
      </c>
      <c r="J37" s="10" t="s">
        <v>465</v>
      </c>
    </row>
    <row r="38" spans="1:10" x14ac:dyDescent="0.3">
      <c r="A38" s="7">
        <v>35</v>
      </c>
      <c r="B38" s="7" t="s">
        <v>575</v>
      </c>
      <c r="C38" s="10" t="s">
        <v>576</v>
      </c>
      <c r="D38" s="8" t="s">
        <v>571</v>
      </c>
      <c r="E38" s="8"/>
      <c r="F38" s="10" t="s">
        <v>583</v>
      </c>
      <c r="G38" s="10" t="s">
        <v>482</v>
      </c>
      <c r="H38" s="7" t="s">
        <v>480</v>
      </c>
      <c r="I38" s="10" t="s">
        <v>464</v>
      </c>
      <c r="J38" s="10" t="s">
        <v>481</v>
      </c>
    </row>
    <row r="39" spans="1:10" ht="27.6" x14ac:dyDescent="0.3">
      <c r="A39" s="7">
        <v>36</v>
      </c>
      <c r="B39" s="7" t="s">
        <v>584</v>
      </c>
      <c r="C39" s="10" t="s">
        <v>585</v>
      </c>
      <c r="D39" s="8" t="s">
        <v>564</v>
      </c>
      <c r="E39" s="8" t="s">
        <v>586</v>
      </c>
      <c r="F39" s="10" t="s">
        <v>587</v>
      </c>
      <c r="G39" s="10" t="s">
        <v>282</v>
      </c>
      <c r="H39" s="7" t="s">
        <v>264</v>
      </c>
      <c r="I39" s="10" t="s">
        <v>250</v>
      </c>
      <c r="J39" s="10" t="s">
        <v>260</v>
      </c>
    </row>
    <row r="40" spans="1:10" ht="27.6" x14ac:dyDescent="0.3">
      <c r="A40" s="7">
        <v>37</v>
      </c>
      <c r="B40" s="7" t="s">
        <v>584</v>
      </c>
      <c r="C40" s="10" t="s">
        <v>585</v>
      </c>
      <c r="D40" s="8" t="s">
        <v>564</v>
      </c>
      <c r="E40" s="8" t="s">
        <v>586</v>
      </c>
      <c r="F40" s="10" t="s">
        <v>587</v>
      </c>
      <c r="G40" s="10" t="s">
        <v>300</v>
      </c>
      <c r="H40" s="7" t="s">
        <v>289</v>
      </c>
      <c r="I40" s="10" t="s">
        <v>250</v>
      </c>
      <c r="J40" s="10" t="s">
        <v>286</v>
      </c>
    </row>
    <row r="41" spans="1:10" ht="27.6" x14ac:dyDescent="0.3">
      <c r="A41" s="7">
        <v>38</v>
      </c>
      <c r="B41" s="7" t="s">
        <v>584</v>
      </c>
      <c r="C41" s="10" t="s">
        <v>585</v>
      </c>
      <c r="D41" s="8" t="s">
        <v>564</v>
      </c>
      <c r="E41" s="8" t="s">
        <v>586</v>
      </c>
      <c r="F41" s="10" t="s">
        <v>587</v>
      </c>
      <c r="G41" s="10" t="s">
        <v>302</v>
      </c>
      <c r="H41" s="7" t="s">
        <v>294</v>
      </c>
      <c r="I41" s="10" t="s">
        <v>250</v>
      </c>
      <c r="J41" s="10" t="s">
        <v>286</v>
      </c>
    </row>
    <row r="42" spans="1:10" x14ac:dyDescent="0.3">
      <c r="A42" s="7">
        <v>39</v>
      </c>
      <c r="B42" s="7" t="s">
        <v>584</v>
      </c>
      <c r="C42" s="10" t="s">
        <v>585</v>
      </c>
      <c r="D42" s="8" t="s">
        <v>564</v>
      </c>
      <c r="E42" s="8" t="s">
        <v>586</v>
      </c>
      <c r="F42" s="10" t="s">
        <v>573</v>
      </c>
      <c r="G42" s="10" t="s">
        <v>402</v>
      </c>
      <c r="H42" s="7" t="s">
        <v>398</v>
      </c>
      <c r="I42" s="10" t="s">
        <v>399</v>
      </c>
      <c r="J42" s="10" t="s">
        <v>400</v>
      </c>
    </row>
    <row r="43" spans="1:10" x14ac:dyDescent="0.3">
      <c r="A43" s="7">
        <v>40</v>
      </c>
      <c r="B43" s="7" t="s">
        <v>584</v>
      </c>
      <c r="C43" s="10" t="s">
        <v>585</v>
      </c>
      <c r="D43" s="8" t="s">
        <v>564</v>
      </c>
      <c r="E43" s="8" t="s">
        <v>586</v>
      </c>
      <c r="F43" s="10" t="s">
        <v>573</v>
      </c>
      <c r="G43" s="10" t="s">
        <v>406</v>
      </c>
      <c r="H43" s="7" t="s">
        <v>404</v>
      </c>
      <c r="I43" s="10" t="s">
        <v>399</v>
      </c>
      <c r="J43" s="10" t="s">
        <v>400</v>
      </c>
    </row>
    <row r="44" spans="1:10" x14ac:dyDescent="0.3">
      <c r="A44" s="7">
        <v>41</v>
      </c>
      <c r="B44" s="7" t="s">
        <v>584</v>
      </c>
      <c r="C44" s="10" t="s">
        <v>585</v>
      </c>
      <c r="D44" s="8" t="s">
        <v>564</v>
      </c>
      <c r="E44" s="8" t="s">
        <v>586</v>
      </c>
      <c r="F44" s="10" t="s">
        <v>573</v>
      </c>
      <c r="G44" s="10" t="s">
        <v>409</v>
      </c>
      <c r="H44" s="7" t="s">
        <v>407</v>
      </c>
      <c r="I44" s="10" t="s">
        <v>399</v>
      </c>
      <c r="J44" s="10" t="s">
        <v>400</v>
      </c>
    </row>
    <row r="45" spans="1:10" x14ac:dyDescent="0.3">
      <c r="A45" s="7">
        <v>42</v>
      </c>
      <c r="B45" s="7" t="s">
        <v>584</v>
      </c>
      <c r="C45" s="10" t="s">
        <v>585</v>
      </c>
      <c r="D45" s="8" t="s">
        <v>564</v>
      </c>
      <c r="E45" s="8" t="s">
        <v>586</v>
      </c>
      <c r="F45" s="10" t="s">
        <v>573</v>
      </c>
      <c r="G45" s="10" t="s">
        <v>420</v>
      </c>
      <c r="H45" s="7" t="s">
        <v>418</v>
      </c>
      <c r="I45" s="10" t="s">
        <v>399</v>
      </c>
      <c r="J45" s="10" t="s">
        <v>411</v>
      </c>
    </row>
    <row r="46" spans="1:10" x14ac:dyDescent="0.3">
      <c r="A46" s="7">
        <v>43</v>
      </c>
      <c r="B46" s="7" t="s">
        <v>584</v>
      </c>
      <c r="C46" s="10" t="s">
        <v>585</v>
      </c>
      <c r="D46" s="8" t="s">
        <v>564</v>
      </c>
      <c r="E46" s="8" t="s">
        <v>588</v>
      </c>
      <c r="F46" s="10" t="s">
        <v>574</v>
      </c>
      <c r="G46" s="10" t="s">
        <v>413</v>
      </c>
      <c r="H46" s="7" t="s">
        <v>410</v>
      </c>
      <c r="I46" s="10" t="s">
        <v>399</v>
      </c>
      <c r="J46" s="10" t="s">
        <v>411</v>
      </c>
    </row>
    <row r="47" spans="1:10" x14ac:dyDescent="0.3">
      <c r="A47" s="7">
        <v>44</v>
      </c>
      <c r="B47" s="7" t="s">
        <v>584</v>
      </c>
      <c r="C47" s="10" t="s">
        <v>585</v>
      </c>
      <c r="D47" s="8" t="s">
        <v>564</v>
      </c>
      <c r="E47" s="8" t="s">
        <v>588</v>
      </c>
      <c r="F47" s="10" t="s">
        <v>574</v>
      </c>
      <c r="G47" s="10" t="s">
        <v>417</v>
      </c>
      <c r="H47" s="7" t="s">
        <v>415</v>
      </c>
      <c r="I47" s="10" t="s">
        <v>399</v>
      </c>
      <c r="J47" s="10" t="s">
        <v>411</v>
      </c>
    </row>
    <row r="48" spans="1:10" x14ac:dyDescent="0.3">
      <c r="A48" s="7">
        <v>45</v>
      </c>
      <c r="B48" s="7" t="s">
        <v>584</v>
      </c>
      <c r="C48" s="10" t="s">
        <v>585</v>
      </c>
      <c r="D48" s="8" t="s">
        <v>564</v>
      </c>
      <c r="E48" s="8" t="s">
        <v>588</v>
      </c>
      <c r="F48" s="10" t="s">
        <v>589</v>
      </c>
      <c r="G48" s="10" t="s">
        <v>424</v>
      </c>
      <c r="H48" s="7" t="s">
        <v>421</v>
      </c>
      <c r="I48" s="10" t="s">
        <v>399</v>
      </c>
      <c r="J48" s="10" t="s">
        <v>422</v>
      </c>
    </row>
    <row r="49" spans="1:10" x14ac:dyDescent="0.3">
      <c r="A49" s="7">
        <v>46</v>
      </c>
      <c r="B49" s="7" t="s">
        <v>584</v>
      </c>
      <c r="C49" s="10" t="s">
        <v>585</v>
      </c>
      <c r="D49" s="8" t="s">
        <v>564</v>
      </c>
      <c r="E49" s="8" t="s">
        <v>588</v>
      </c>
      <c r="F49" s="10" t="s">
        <v>589</v>
      </c>
      <c r="G49" s="10" t="s">
        <v>427</v>
      </c>
      <c r="H49" s="7" t="s">
        <v>425</v>
      </c>
      <c r="I49" s="10" t="s">
        <v>399</v>
      </c>
      <c r="J49" s="10" t="s">
        <v>422</v>
      </c>
    </row>
    <row r="50" spans="1:10" x14ac:dyDescent="0.3">
      <c r="A50" s="7">
        <v>47</v>
      </c>
      <c r="B50" s="7" t="s">
        <v>584</v>
      </c>
      <c r="C50" s="10" t="s">
        <v>585</v>
      </c>
      <c r="D50" s="8" t="s">
        <v>564</v>
      </c>
      <c r="E50" s="8" t="s">
        <v>588</v>
      </c>
      <c r="F50" s="10" t="s">
        <v>589</v>
      </c>
      <c r="G50" s="10" t="s">
        <v>430</v>
      </c>
      <c r="H50" s="7" t="s">
        <v>428</v>
      </c>
      <c r="I50" s="10" t="s">
        <v>399</v>
      </c>
      <c r="J50" s="10" t="s">
        <v>422</v>
      </c>
    </row>
    <row r="51" spans="1:10" ht="27.6" x14ac:dyDescent="0.3">
      <c r="A51" s="7">
        <v>48</v>
      </c>
      <c r="B51" s="7" t="s">
        <v>584</v>
      </c>
      <c r="C51" s="10" t="s">
        <v>585</v>
      </c>
      <c r="D51" s="8" t="s">
        <v>567</v>
      </c>
      <c r="E51" s="8" t="s">
        <v>590</v>
      </c>
      <c r="F51" s="10" t="s">
        <v>577</v>
      </c>
      <c r="G51" s="10" t="s">
        <v>435</v>
      </c>
      <c r="H51" s="7" t="s">
        <v>431</v>
      </c>
      <c r="I51" s="10" t="s">
        <v>432</v>
      </c>
      <c r="J51" s="10" t="s">
        <v>433</v>
      </c>
    </row>
    <row r="52" spans="1:10" ht="27.6" x14ac:dyDescent="0.3">
      <c r="A52" s="7">
        <v>49</v>
      </c>
      <c r="B52" s="7" t="s">
        <v>584</v>
      </c>
      <c r="C52" s="10" t="s">
        <v>585</v>
      </c>
      <c r="D52" s="8" t="s">
        <v>567</v>
      </c>
      <c r="E52" s="8" t="s">
        <v>590</v>
      </c>
      <c r="F52" s="10" t="s">
        <v>577</v>
      </c>
      <c r="G52" s="10" t="s">
        <v>439</v>
      </c>
      <c r="H52" s="7" t="s">
        <v>437</v>
      </c>
      <c r="I52" s="10" t="s">
        <v>432</v>
      </c>
      <c r="J52" s="10" t="s">
        <v>433</v>
      </c>
    </row>
    <row r="53" spans="1:10" ht="27.6" x14ac:dyDescent="0.3">
      <c r="A53" s="7">
        <v>50</v>
      </c>
      <c r="B53" s="7" t="s">
        <v>584</v>
      </c>
      <c r="C53" s="10" t="s">
        <v>585</v>
      </c>
      <c r="D53" s="8" t="s">
        <v>567</v>
      </c>
      <c r="E53" s="8" t="s">
        <v>591</v>
      </c>
      <c r="F53" s="10" t="s">
        <v>578</v>
      </c>
      <c r="G53" s="10" t="s">
        <v>442</v>
      </c>
      <c r="H53" s="7" t="s">
        <v>316</v>
      </c>
      <c r="I53" s="10" t="s">
        <v>432</v>
      </c>
      <c r="J53" s="10" t="s">
        <v>440</v>
      </c>
    </row>
    <row r="54" spans="1:10" ht="27.6" x14ac:dyDescent="0.3">
      <c r="A54" s="7">
        <v>51</v>
      </c>
      <c r="B54" s="7" t="s">
        <v>584</v>
      </c>
      <c r="C54" s="10" t="s">
        <v>585</v>
      </c>
      <c r="D54" s="8" t="s">
        <v>567</v>
      </c>
      <c r="E54" s="8" t="s">
        <v>591</v>
      </c>
      <c r="F54" s="10" t="s">
        <v>592</v>
      </c>
      <c r="G54" s="10" t="s">
        <v>446</v>
      </c>
      <c r="H54" s="7" t="s">
        <v>444</v>
      </c>
      <c r="I54" s="10" t="s">
        <v>432</v>
      </c>
      <c r="J54" s="10" t="s">
        <v>440</v>
      </c>
    </row>
    <row r="55" spans="1:10" ht="27.6" x14ac:dyDescent="0.3">
      <c r="A55" s="7">
        <v>52</v>
      </c>
      <c r="B55" s="7" t="s">
        <v>584</v>
      </c>
      <c r="C55" s="10" t="s">
        <v>585</v>
      </c>
      <c r="D55" s="8" t="s">
        <v>567</v>
      </c>
      <c r="E55" s="8" t="s">
        <v>591</v>
      </c>
      <c r="F55" s="10" t="s">
        <v>592</v>
      </c>
      <c r="G55" s="10" t="s">
        <v>449</v>
      </c>
      <c r="H55" s="7" t="s">
        <v>447</v>
      </c>
      <c r="I55" s="10" t="s">
        <v>432</v>
      </c>
      <c r="J55" s="10" t="s">
        <v>440</v>
      </c>
    </row>
    <row r="56" spans="1:10" x14ac:dyDescent="0.3">
      <c r="A56" s="7">
        <v>53</v>
      </c>
      <c r="B56" s="7" t="s">
        <v>584</v>
      </c>
      <c r="C56" s="10" t="s">
        <v>585</v>
      </c>
      <c r="D56" s="8" t="s">
        <v>571</v>
      </c>
      <c r="E56" s="8" t="s">
        <v>593</v>
      </c>
      <c r="F56" s="10" t="s">
        <v>579</v>
      </c>
      <c r="G56" s="10" t="s">
        <v>453</v>
      </c>
      <c r="H56" s="7" t="s">
        <v>450</v>
      </c>
      <c r="I56" s="10" t="s">
        <v>451</v>
      </c>
      <c r="J56" s="10" t="s">
        <v>452</v>
      </c>
    </row>
    <row r="57" spans="1:10" ht="27.6" x14ac:dyDescent="0.3">
      <c r="A57" s="7">
        <v>54</v>
      </c>
      <c r="B57" s="7" t="s">
        <v>584</v>
      </c>
      <c r="C57" s="10" t="s">
        <v>585</v>
      </c>
      <c r="D57" s="8" t="s">
        <v>571</v>
      </c>
      <c r="E57" s="8" t="s">
        <v>593</v>
      </c>
      <c r="F57" s="10" t="s">
        <v>580</v>
      </c>
      <c r="G57" s="10" t="s">
        <v>458</v>
      </c>
      <c r="H57" s="7" t="s">
        <v>456</v>
      </c>
      <c r="I57" s="10" t="s">
        <v>451</v>
      </c>
      <c r="J57" s="10" t="s">
        <v>457</v>
      </c>
    </row>
    <row r="58" spans="1:10" ht="27.6" x14ac:dyDescent="0.3">
      <c r="A58" s="7">
        <v>55</v>
      </c>
      <c r="B58" s="7" t="s">
        <v>584</v>
      </c>
      <c r="C58" s="10" t="s">
        <v>585</v>
      </c>
      <c r="D58" s="8" t="s">
        <v>571</v>
      </c>
      <c r="E58" s="8" t="s">
        <v>594</v>
      </c>
      <c r="F58" s="10" t="s">
        <v>460</v>
      </c>
      <c r="G58" s="10" t="s">
        <v>461</v>
      </c>
      <c r="H58" s="7" t="s">
        <v>459</v>
      </c>
      <c r="I58" s="10" t="s">
        <v>451</v>
      </c>
      <c r="J58" s="10" t="s">
        <v>460</v>
      </c>
    </row>
    <row r="59" spans="1:10" ht="27.6" x14ac:dyDescent="0.3">
      <c r="A59" s="7">
        <v>56</v>
      </c>
      <c r="B59" s="7" t="s">
        <v>584</v>
      </c>
      <c r="C59" s="10" t="s">
        <v>585</v>
      </c>
      <c r="D59" s="8" t="s">
        <v>595</v>
      </c>
      <c r="E59" s="8" t="s">
        <v>596</v>
      </c>
      <c r="F59" s="10" t="s">
        <v>581</v>
      </c>
      <c r="G59" s="10" t="s">
        <v>503</v>
      </c>
      <c r="H59" s="7" t="s">
        <v>499</v>
      </c>
      <c r="I59" s="10" t="s">
        <v>500</v>
      </c>
      <c r="J59" s="10" t="s">
        <v>501</v>
      </c>
    </row>
    <row r="60" spans="1:10" ht="27.6" x14ac:dyDescent="0.3">
      <c r="A60" s="7">
        <v>57</v>
      </c>
      <c r="B60" s="7" t="s">
        <v>584</v>
      </c>
      <c r="C60" s="10" t="s">
        <v>585</v>
      </c>
      <c r="D60" s="8" t="s">
        <v>595</v>
      </c>
      <c r="E60" s="8" t="s">
        <v>596</v>
      </c>
      <c r="F60" s="10" t="s">
        <v>581</v>
      </c>
      <c r="G60" s="10" t="s">
        <v>506</v>
      </c>
      <c r="H60" s="7" t="s">
        <v>504</v>
      </c>
      <c r="I60" s="10" t="s">
        <v>500</v>
      </c>
      <c r="J60" s="10" t="s">
        <v>501</v>
      </c>
    </row>
    <row r="61" spans="1:10" ht="27.6" x14ac:dyDescent="0.3">
      <c r="A61" s="7">
        <v>58</v>
      </c>
      <c r="B61" s="7" t="s">
        <v>584</v>
      </c>
      <c r="C61" s="10" t="s">
        <v>585</v>
      </c>
      <c r="D61" s="8" t="s">
        <v>595</v>
      </c>
      <c r="E61" s="8" t="s">
        <v>596</v>
      </c>
      <c r="F61" s="10" t="s">
        <v>597</v>
      </c>
      <c r="G61" s="10" t="s">
        <v>492</v>
      </c>
      <c r="H61" s="7" t="s">
        <v>489</v>
      </c>
      <c r="I61" s="10" t="s">
        <v>464</v>
      </c>
      <c r="J61" s="10" t="s">
        <v>490</v>
      </c>
    </row>
    <row r="62" spans="1:10" x14ac:dyDescent="0.3">
      <c r="A62" s="7">
        <v>59</v>
      </c>
      <c r="B62" s="7" t="s">
        <v>584</v>
      </c>
      <c r="C62" s="10" t="s">
        <v>585</v>
      </c>
      <c r="D62" s="8" t="s">
        <v>595</v>
      </c>
      <c r="E62" s="8" t="s">
        <v>596</v>
      </c>
      <c r="F62" s="10" t="s">
        <v>597</v>
      </c>
      <c r="G62" s="10" t="s">
        <v>496</v>
      </c>
      <c r="H62" s="7" t="s">
        <v>494</v>
      </c>
      <c r="I62" s="10" t="s">
        <v>464</v>
      </c>
      <c r="J62" s="10" t="s">
        <v>490</v>
      </c>
    </row>
    <row r="63" spans="1:10" x14ac:dyDescent="0.3">
      <c r="A63" s="7">
        <v>60</v>
      </c>
      <c r="B63" s="7" t="s">
        <v>584</v>
      </c>
      <c r="C63" s="10" t="s">
        <v>585</v>
      </c>
      <c r="D63" s="8" t="s">
        <v>595</v>
      </c>
      <c r="E63" s="8" t="s">
        <v>596</v>
      </c>
      <c r="F63" s="10" t="s">
        <v>597</v>
      </c>
      <c r="G63" s="10" t="s">
        <v>498</v>
      </c>
      <c r="H63" s="7" t="s">
        <v>497</v>
      </c>
      <c r="I63" s="10" t="s">
        <v>464</v>
      </c>
      <c r="J63" s="10" t="s">
        <v>490</v>
      </c>
    </row>
    <row r="64" spans="1:10" x14ac:dyDescent="0.3">
      <c r="A64" s="7">
        <v>61</v>
      </c>
      <c r="B64" s="7" t="s">
        <v>584</v>
      </c>
      <c r="C64" s="10" t="s">
        <v>585</v>
      </c>
      <c r="D64" s="8" t="s">
        <v>595</v>
      </c>
      <c r="E64" s="8" t="s">
        <v>598</v>
      </c>
      <c r="F64" s="10" t="s">
        <v>599</v>
      </c>
      <c r="G64" s="10" t="s">
        <v>485</v>
      </c>
      <c r="H64" s="7" t="s">
        <v>483</v>
      </c>
      <c r="I64" s="10" t="s">
        <v>464</v>
      </c>
      <c r="J64" s="10" t="s">
        <v>481</v>
      </c>
    </row>
    <row r="65" spans="1:10" x14ac:dyDescent="0.3">
      <c r="A65" s="7">
        <v>62</v>
      </c>
      <c r="B65" s="7" t="s">
        <v>584</v>
      </c>
      <c r="C65" s="10" t="s">
        <v>585</v>
      </c>
      <c r="D65" s="8" t="s">
        <v>595</v>
      </c>
      <c r="E65" s="8" t="s">
        <v>598</v>
      </c>
      <c r="F65" s="10" t="s">
        <v>599</v>
      </c>
      <c r="G65" s="10" t="s">
        <v>488</v>
      </c>
      <c r="H65" s="7" t="s">
        <v>486</v>
      </c>
      <c r="I65" s="10" t="s">
        <v>464</v>
      </c>
      <c r="J65" s="10" t="s">
        <v>481</v>
      </c>
    </row>
    <row r="66" spans="1:10" x14ac:dyDescent="0.3">
      <c r="A66" s="7">
        <v>63</v>
      </c>
      <c r="B66" s="7" t="s">
        <v>584</v>
      </c>
      <c r="C66" s="10" t="s">
        <v>585</v>
      </c>
      <c r="D66" s="8" t="s">
        <v>595</v>
      </c>
      <c r="E66" s="8" t="s">
        <v>598</v>
      </c>
      <c r="F66" s="10" t="s">
        <v>600</v>
      </c>
      <c r="G66" s="10" t="s">
        <v>475</v>
      </c>
      <c r="H66" s="7" t="s">
        <v>473</v>
      </c>
      <c r="I66" s="10" t="s">
        <v>464</v>
      </c>
      <c r="J66" s="10" t="s">
        <v>465</v>
      </c>
    </row>
    <row r="67" spans="1:10" x14ac:dyDescent="0.3">
      <c r="A67" s="7">
        <v>64</v>
      </c>
      <c r="B67" s="7" t="s">
        <v>584</v>
      </c>
      <c r="C67" s="10" t="s">
        <v>585</v>
      </c>
      <c r="D67" s="8" t="s">
        <v>595</v>
      </c>
      <c r="E67" s="8" t="s">
        <v>598</v>
      </c>
      <c r="F67" s="10" t="s">
        <v>600</v>
      </c>
      <c r="G67" s="10" t="s">
        <v>479</v>
      </c>
      <c r="H67" s="7" t="s">
        <v>477</v>
      </c>
      <c r="I67" s="10" t="s">
        <v>464</v>
      </c>
      <c r="J67" s="10" t="s">
        <v>465</v>
      </c>
    </row>
    <row r="68" spans="1:10" ht="27.6" x14ac:dyDescent="0.3">
      <c r="A68" s="7">
        <v>65</v>
      </c>
      <c r="B68" s="7" t="s">
        <v>584</v>
      </c>
      <c r="C68" s="10" t="s">
        <v>585</v>
      </c>
      <c r="D68" s="8" t="s">
        <v>601</v>
      </c>
      <c r="E68" s="8" t="s">
        <v>602</v>
      </c>
      <c r="F68" s="10" t="s">
        <v>603</v>
      </c>
      <c r="G68" s="10" t="s">
        <v>382</v>
      </c>
      <c r="H68" s="7" t="s">
        <v>379</v>
      </c>
      <c r="I68" s="10" t="s">
        <v>337</v>
      </c>
      <c r="J68" s="10" t="s">
        <v>380</v>
      </c>
    </row>
    <row r="69" spans="1:10" ht="27.6" x14ac:dyDescent="0.3">
      <c r="A69" s="7">
        <v>66</v>
      </c>
      <c r="B69" s="7" t="s">
        <v>584</v>
      </c>
      <c r="C69" s="10" t="s">
        <v>585</v>
      </c>
      <c r="D69" s="8" t="s">
        <v>601</v>
      </c>
      <c r="E69" s="8" t="s">
        <v>602</v>
      </c>
      <c r="F69" s="10" t="s">
        <v>603</v>
      </c>
      <c r="G69" s="10" t="s">
        <v>388</v>
      </c>
      <c r="H69" s="7" t="s">
        <v>386</v>
      </c>
      <c r="I69" s="10" t="s">
        <v>337</v>
      </c>
      <c r="J69" s="10" t="s">
        <v>380</v>
      </c>
    </row>
    <row r="70" spans="1:10" ht="27.6" x14ac:dyDescent="0.3">
      <c r="A70" s="7">
        <v>67</v>
      </c>
      <c r="B70" s="7" t="s">
        <v>584</v>
      </c>
      <c r="C70" s="10" t="s">
        <v>585</v>
      </c>
      <c r="D70" s="8" t="s">
        <v>601</v>
      </c>
      <c r="E70" s="8" t="s">
        <v>602</v>
      </c>
      <c r="F70" s="10" t="s">
        <v>603</v>
      </c>
      <c r="G70" s="10" t="s">
        <v>391</v>
      </c>
      <c r="H70" s="7" t="s">
        <v>389</v>
      </c>
      <c r="I70" s="10" t="s">
        <v>337</v>
      </c>
      <c r="J70" s="10" t="s">
        <v>380</v>
      </c>
    </row>
    <row r="71" spans="1:10" ht="27.6" x14ac:dyDescent="0.3">
      <c r="A71" s="7">
        <v>68</v>
      </c>
      <c r="B71" s="7" t="s">
        <v>584</v>
      </c>
      <c r="C71" s="10" t="s">
        <v>585</v>
      </c>
      <c r="D71" s="8" t="s">
        <v>601</v>
      </c>
      <c r="E71" s="8" t="s">
        <v>602</v>
      </c>
      <c r="F71" s="10" t="s">
        <v>604</v>
      </c>
      <c r="G71" s="10" t="s">
        <v>394</v>
      </c>
      <c r="H71" s="7" t="s">
        <v>392</v>
      </c>
      <c r="I71" s="10" t="s">
        <v>337</v>
      </c>
      <c r="J71" s="10" t="s">
        <v>380</v>
      </c>
    </row>
    <row r="72" spans="1:10" ht="27.6" x14ac:dyDescent="0.3">
      <c r="A72" s="7">
        <v>69</v>
      </c>
      <c r="B72" s="7" t="s">
        <v>584</v>
      </c>
      <c r="C72" s="10" t="s">
        <v>585</v>
      </c>
      <c r="D72" s="8" t="s">
        <v>601</v>
      </c>
      <c r="E72" s="8" t="s">
        <v>602</v>
      </c>
      <c r="F72" s="10" t="s">
        <v>604</v>
      </c>
      <c r="G72" s="10" t="s">
        <v>397</v>
      </c>
      <c r="H72" s="7" t="s">
        <v>395</v>
      </c>
      <c r="I72" s="10" t="s">
        <v>337</v>
      </c>
      <c r="J72" s="10" t="s">
        <v>380</v>
      </c>
    </row>
    <row r="73" spans="1:10" ht="27.6" x14ac:dyDescent="0.3">
      <c r="A73" s="7">
        <v>70</v>
      </c>
      <c r="B73" s="7" t="s">
        <v>584</v>
      </c>
      <c r="C73" s="10" t="s">
        <v>585</v>
      </c>
      <c r="D73" s="8" t="s">
        <v>601</v>
      </c>
      <c r="E73" s="8" t="s">
        <v>605</v>
      </c>
      <c r="F73" s="10" t="s">
        <v>606</v>
      </c>
      <c r="G73" s="10" t="s">
        <v>510</v>
      </c>
      <c r="H73" s="7" t="s">
        <v>507</v>
      </c>
      <c r="I73" s="10" t="s">
        <v>500</v>
      </c>
      <c r="J73" s="10" t="s">
        <v>508</v>
      </c>
    </row>
    <row r="74" spans="1:10" ht="27.6" x14ac:dyDescent="0.3">
      <c r="A74" s="7">
        <v>71</v>
      </c>
      <c r="B74" s="7" t="s">
        <v>584</v>
      </c>
      <c r="C74" s="10" t="s">
        <v>585</v>
      </c>
      <c r="D74" s="8" t="s">
        <v>601</v>
      </c>
      <c r="E74" s="8" t="s">
        <v>605</v>
      </c>
      <c r="F74" s="10" t="s">
        <v>606</v>
      </c>
      <c r="G74" s="10" t="s">
        <v>514</v>
      </c>
      <c r="H74" s="7" t="s">
        <v>512</v>
      </c>
      <c r="I74" s="10" t="s">
        <v>500</v>
      </c>
      <c r="J74" s="10" t="s">
        <v>508</v>
      </c>
    </row>
    <row r="75" spans="1:10" ht="27.6" x14ac:dyDescent="0.3">
      <c r="A75" s="7">
        <v>72</v>
      </c>
      <c r="B75" s="7" t="s">
        <v>584</v>
      </c>
      <c r="C75" s="10" t="s">
        <v>585</v>
      </c>
      <c r="D75" s="8" t="s">
        <v>601</v>
      </c>
      <c r="E75" s="8" t="s">
        <v>605</v>
      </c>
      <c r="F75" s="10" t="s">
        <v>606</v>
      </c>
      <c r="G75" s="10" t="s">
        <v>517</v>
      </c>
      <c r="H75" s="7" t="s">
        <v>515</v>
      </c>
      <c r="I75" s="10" t="s">
        <v>500</v>
      </c>
      <c r="J75" s="10" t="s">
        <v>508</v>
      </c>
    </row>
    <row r="76" spans="1:10" ht="27.6" x14ac:dyDescent="0.3">
      <c r="A76" s="7">
        <v>73</v>
      </c>
      <c r="B76" s="7" t="s">
        <v>584</v>
      </c>
      <c r="C76" s="10" t="s">
        <v>585</v>
      </c>
      <c r="D76" s="8" t="s">
        <v>607</v>
      </c>
      <c r="E76" s="8" t="s">
        <v>608</v>
      </c>
      <c r="F76" s="10" t="s">
        <v>609</v>
      </c>
      <c r="G76" s="10" t="s">
        <v>521</v>
      </c>
      <c r="H76" s="7" t="s">
        <v>518</v>
      </c>
      <c r="I76" s="10" t="s">
        <v>500</v>
      </c>
      <c r="J76" s="10" t="s">
        <v>519</v>
      </c>
    </row>
    <row r="77" spans="1:10" ht="27.6" x14ac:dyDescent="0.3">
      <c r="A77" s="7">
        <v>74</v>
      </c>
      <c r="B77" s="7" t="s">
        <v>584</v>
      </c>
      <c r="C77" s="10" t="s">
        <v>585</v>
      </c>
      <c r="D77" s="8" t="s">
        <v>607</v>
      </c>
      <c r="E77" s="8" t="s">
        <v>608</v>
      </c>
      <c r="F77" s="10" t="s">
        <v>610</v>
      </c>
      <c r="G77" s="10" t="s">
        <v>525</v>
      </c>
      <c r="H77" s="7" t="s">
        <v>523</v>
      </c>
      <c r="I77" s="10" t="s">
        <v>500</v>
      </c>
      <c r="J77" s="10" t="s">
        <v>519</v>
      </c>
    </row>
    <row r="78" spans="1:10" ht="27.6" x14ac:dyDescent="0.3">
      <c r="A78" s="7">
        <v>75</v>
      </c>
      <c r="B78" s="7" t="s">
        <v>584</v>
      </c>
      <c r="C78" s="10" t="s">
        <v>585</v>
      </c>
      <c r="D78" s="8" t="s">
        <v>607</v>
      </c>
      <c r="E78" s="8" t="s">
        <v>611</v>
      </c>
      <c r="F78" s="10" t="s">
        <v>612</v>
      </c>
      <c r="G78" s="10" t="s">
        <v>530</v>
      </c>
      <c r="H78" s="7" t="s">
        <v>526</v>
      </c>
      <c r="I78" s="10" t="s">
        <v>527</v>
      </c>
      <c r="J78" s="10" t="s">
        <v>528</v>
      </c>
    </row>
    <row r="79" spans="1:10" x14ac:dyDescent="0.3">
      <c r="A79" s="7">
        <v>76</v>
      </c>
      <c r="B79" s="7" t="s">
        <v>584</v>
      </c>
      <c r="C79" s="10" t="s">
        <v>585</v>
      </c>
      <c r="D79" s="8" t="s">
        <v>607</v>
      </c>
      <c r="E79" s="8" t="s">
        <v>611</v>
      </c>
      <c r="F79" s="10" t="s">
        <v>612</v>
      </c>
      <c r="G79" s="10" t="s">
        <v>534</v>
      </c>
      <c r="H79" s="7" t="s">
        <v>532</v>
      </c>
      <c r="I79" s="10" t="s">
        <v>527</v>
      </c>
      <c r="J79" s="10" t="s">
        <v>528</v>
      </c>
    </row>
    <row r="80" spans="1:10" x14ac:dyDescent="0.3">
      <c r="A80" s="7">
        <v>77</v>
      </c>
      <c r="B80" s="7" t="s">
        <v>584</v>
      </c>
      <c r="C80" s="10" t="s">
        <v>585</v>
      </c>
      <c r="D80" s="8" t="s">
        <v>607</v>
      </c>
      <c r="E80" s="8" t="s">
        <v>611</v>
      </c>
      <c r="F80" s="10" t="s">
        <v>613</v>
      </c>
      <c r="G80" s="10" t="s">
        <v>538</v>
      </c>
      <c r="H80" s="7" t="s">
        <v>535</v>
      </c>
      <c r="I80" s="10" t="s">
        <v>527</v>
      </c>
      <c r="J80" s="10" t="s">
        <v>536</v>
      </c>
    </row>
    <row r="81" spans="1:10" x14ac:dyDescent="0.3">
      <c r="A81" s="7">
        <v>78</v>
      </c>
      <c r="B81" s="7" t="s">
        <v>584</v>
      </c>
      <c r="C81" s="10" t="s">
        <v>585</v>
      </c>
      <c r="D81" s="8" t="s">
        <v>607</v>
      </c>
      <c r="E81" s="8" t="s">
        <v>611</v>
      </c>
      <c r="F81" s="10" t="s">
        <v>613</v>
      </c>
      <c r="G81" s="10" t="s">
        <v>541</v>
      </c>
      <c r="H81" s="7" t="s">
        <v>539</v>
      </c>
      <c r="I81" s="10" t="s">
        <v>527</v>
      </c>
      <c r="J81" s="10" t="s">
        <v>536</v>
      </c>
    </row>
    <row r="82" spans="1:10" ht="27.6" x14ac:dyDescent="0.3">
      <c r="A82" s="7">
        <v>79</v>
      </c>
      <c r="B82" s="7" t="s">
        <v>614</v>
      </c>
      <c r="C82" s="10" t="s">
        <v>615</v>
      </c>
      <c r="D82" s="8" t="s">
        <v>564</v>
      </c>
      <c r="E82" s="8" t="s">
        <v>586</v>
      </c>
      <c r="F82" s="10" t="s">
        <v>587</v>
      </c>
      <c r="G82" s="10" t="s">
        <v>282</v>
      </c>
      <c r="H82" s="7" t="s">
        <v>264</v>
      </c>
      <c r="I82" s="10" t="s">
        <v>250</v>
      </c>
      <c r="J82" s="10" t="s">
        <v>260</v>
      </c>
    </row>
    <row r="83" spans="1:10" ht="27.6" x14ac:dyDescent="0.3">
      <c r="A83" s="7">
        <v>80</v>
      </c>
      <c r="B83" s="7" t="s">
        <v>614</v>
      </c>
      <c r="C83" s="10" t="s">
        <v>615</v>
      </c>
      <c r="D83" s="8" t="s">
        <v>564</v>
      </c>
      <c r="E83" s="8" t="s">
        <v>586</v>
      </c>
      <c r="F83" s="10" t="s">
        <v>587</v>
      </c>
      <c r="G83" s="10" t="s">
        <v>300</v>
      </c>
      <c r="H83" s="7" t="s">
        <v>289</v>
      </c>
      <c r="I83" s="10" t="s">
        <v>250</v>
      </c>
      <c r="J83" s="10" t="s">
        <v>286</v>
      </c>
    </row>
    <row r="84" spans="1:10" ht="27.6" x14ac:dyDescent="0.3">
      <c r="A84" s="7">
        <v>81</v>
      </c>
      <c r="B84" s="7" t="s">
        <v>614</v>
      </c>
      <c r="C84" s="10" t="s">
        <v>615</v>
      </c>
      <c r="D84" s="8" t="s">
        <v>564</v>
      </c>
      <c r="E84" s="8" t="s">
        <v>586</v>
      </c>
      <c r="F84" s="10" t="s">
        <v>587</v>
      </c>
      <c r="G84" s="10" t="s">
        <v>302</v>
      </c>
      <c r="H84" s="7" t="s">
        <v>294</v>
      </c>
      <c r="I84" s="10" t="s">
        <v>250</v>
      </c>
      <c r="J84" s="10" t="s">
        <v>286</v>
      </c>
    </row>
    <row r="85" spans="1:10" x14ac:dyDescent="0.3">
      <c r="A85" s="7">
        <v>82</v>
      </c>
      <c r="B85" s="7" t="s">
        <v>614</v>
      </c>
      <c r="C85" s="10" t="s">
        <v>615</v>
      </c>
      <c r="D85" s="8" t="s">
        <v>564</v>
      </c>
      <c r="E85" s="8" t="s">
        <v>586</v>
      </c>
      <c r="F85" s="10" t="s">
        <v>573</v>
      </c>
      <c r="G85" s="10" t="s">
        <v>402</v>
      </c>
      <c r="H85" s="7" t="s">
        <v>398</v>
      </c>
      <c r="I85" s="10" t="s">
        <v>399</v>
      </c>
      <c r="J85" s="10" t="s">
        <v>400</v>
      </c>
    </row>
    <row r="86" spans="1:10" x14ac:dyDescent="0.3">
      <c r="A86" s="7">
        <v>83</v>
      </c>
      <c r="B86" s="7" t="s">
        <v>614</v>
      </c>
      <c r="C86" s="10" t="s">
        <v>615</v>
      </c>
      <c r="D86" s="8" t="s">
        <v>564</v>
      </c>
      <c r="E86" s="8" t="s">
        <v>586</v>
      </c>
      <c r="F86" s="10" t="s">
        <v>573</v>
      </c>
      <c r="G86" s="10" t="s">
        <v>406</v>
      </c>
      <c r="H86" s="7" t="s">
        <v>404</v>
      </c>
      <c r="I86" s="10" t="s">
        <v>399</v>
      </c>
      <c r="J86" s="10" t="s">
        <v>400</v>
      </c>
    </row>
    <row r="87" spans="1:10" x14ac:dyDescent="0.3">
      <c r="A87" s="7">
        <v>84</v>
      </c>
      <c r="B87" s="7" t="s">
        <v>614</v>
      </c>
      <c r="C87" s="10" t="s">
        <v>615</v>
      </c>
      <c r="D87" s="8" t="s">
        <v>564</v>
      </c>
      <c r="E87" s="8" t="s">
        <v>586</v>
      </c>
      <c r="F87" s="10" t="s">
        <v>573</v>
      </c>
      <c r="G87" s="10" t="s">
        <v>409</v>
      </c>
      <c r="H87" s="7" t="s">
        <v>407</v>
      </c>
      <c r="I87" s="10" t="s">
        <v>399</v>
      </c>
      <c r="J87" s="10" t="s">
        <v>400</v>
      </c>
    </row>
    <row r="88" spans="1:10" x14ac:dyDescent="0.3">
      <c r="A88" s="7">
        <v>85</v>
      </c>
      <c r="B88" s="7" t="s">
        <v>614</v>
      </c>
      <c r="C88" s="10" t="s">
        <v>615</v>
      </c>
      <c r="D88" s="8" t="s">
        <v>564</v>
      </c>
      <c r="E88" s="8" t="s">
        <v>586</v>
      </c>
      <c r="F88" s="10" t="s">
        <v>573</v>
      </c>
      <c r="G88" s="10" t="s">
        <v>420</v>
      </c>
      <c r="H88" s="7" t="s">
        <v>418</v>
      </c>
      <c r="I88" s="10" t="s">
        <v>399</v>
      </c>
      <c r="J88" s="10" t="s">
        <v>411</v>
      </c>
    </row>
    <row r="89" spans="1:10" x14ac:dyDescent="0.3">
      <c r="A89" s="7">
        <v>86</v>
      </c>
      <c r="B89" s="7" t="s">
        <v>614</v>
      </c>
      <c r="C89" s="10" t="s">
        <v>615</v>
      </c>
      <c r="D89" s="8" t="s">
        <v>564</v>
      </c>
      <c r="E89" s="8" t="s">
        <v>588</v>
      </c>
      <c r="F89" s="10" t="s">
        <v>574</v>
      </c>
      <c r="G89" s="10" t="s">
        <v>413</v>
      </c>
      <c r="H89" s="7" t="s">
        <v>410</v>
      </c>
      <c r="I89" s="10" t="s">
        <v>399</v>
      </c>
      <c r="J89" s="10" t="s">
        <v>411</v>
      </c>
    </row>
    <row r="90" spans="1:10" x14ac:dyDescent="0.3">
      <c r="A90" s="7">
        <v>87</v>
      </c>
      <c r="B90" s="7" t="s">
        <v>614</v>
      </c>
      <c r="C90" s="10" t="s">
        <v>615</v>
      </c>
      <c r="D90" s="8" t="s">
        <v>564</v>
      </c>
      <c r="E90" s="8" t="s">
        <v>588</v>
      </c>
      <c r="F90" s="10" t="s">
        <v>574</v>
      </c>
      <c r="G90" s="10" t="s">
        <v>417</v>
      </c>
      <c r="H90" s="7" t="s">
        <v>415</v>
      </c>
      <c r="I90" s="10" t="s">
        <v>399</v>
      </c>
      <c r="J90" s="10" t="s">
        <v>411</v>
      </c>
    </row>
    <row r="91" spans="1:10" x14ac:dyDescent="0.3">
      <c r="A91" s="7">
        <v>88</v>
      </c>
      <c r="B91" s="7" t="s">
        <v>614</v>
      </c>
      <c r="C91" s="10" t="s">
        <v>615</v>
      </c>
      <c r="D91" s="8" t="s">
        <v>564</v>
      </c>
      <c r="E91" s="8" t="s">
        <v>588</v>
      </c>
      <c r="F91" s="10" t="s">
        <v>589</v>
      </c>
      <c r="G91" s="10" t="s">
        <v>424</v>
      </c>
      <c r="H91" s="7" t="s">
        <v>421</v>
      </c>
      <c r="I91" s="10" t="s">
        <v>399</v>
      </c>
      <c r="J91" s="10" t="s">
        <v>422</v>
      </c>
    </row>
    <row r="92" spans="1:10" x14ac:dyDescent="0.3">
      <c r="A92" s="7">
        <v>89</v>
      </c>
      <c r="B92" s="7" t="s">
        <v>614</v>
      </c>
      <c r="C92" s="10" t="s">
        <v>615</v>
      </c>
      <c r="D92" s="8" t="s">
        <v>564</v>
      </c>
      <c r="E92" s="8" t="s">
        <v>588</v>
      </c>
      <c r="F92" s="10" t="s">
        <v>589</v>
      </c>
      <c r="G92" s="10" t="s">
        <v>427</v>
      </c>
      <c r="H92" s="7" t="s">
        <v>425</v>
      </c>
      <c r="I92" s="10" t="s">
        <v>399</v>
      </c>
      <c r="J92" s="10" t="s">
        <v>422</v>
      </c>
    </row>
    <row r="93" spans="1:10" x14ac:dyDescent="0.3">
      <c r="A93" s="7">
        <v>90</v>
      </c>
      <c r="B93" s="7" t="s">
        <v>614</v>
      </c>
      <c r="C93" s="10" t="s">
        <v>615</v>
      </c>
      <c r="D93" s="8" t="s">
        <v>564</v>
      </c>
      <c r="E93" s="8" t="s">
        <v>588</v>
      </c>
      <c r="F93" s="10" t="s">
        <v>589</v>
      </c>
      <c r="G93" s="10" t="s">
        <v>430</v>
      </c>
      <c r="H93" s="7" t="s">
        <v>428</v>
      </c>
      <c r="I93" s="10" t="s">
        <v>399</v>
      </c>
      <c r="J93" s="10" t="s">
        <v>422</v>
      </c>
    </row>
    <row r="94" spans="1:10" ht="27.6" x14ac:dyDescent="0.3">
      <c r="A94" s="7">
        <v>91</v>
      </c>
      <c r="B94" s="7" t="s">
        <v>614</v>
      </c>
      <c r="C94" s="10" t="s">
        <v>615</v>
      </c>
      <c r="D94" s="8" t="s">
        <v>567</v>
      </c>
      <c r="E94" s="8" t="s">
        <v>590</v>
      </c>
      <c r="F94" s="10" t="s">
        <v>577</v>
      </c>
      <c r="G94" s="10" t="s">
        <v>435</v>
      </c>
      <c r="H94" s="7" t="s">
        <v>431</v>
      </c>
      <c r="I94" s="10" t="s">
        <v>432</v>
      </c>
      <c r="J94" s="10" t="s">
        <v>433</v>
      </c>
    </row>
    <row r="95" spans="1:10" ht="27.6" x14ac:dyDescent="0.3">
      <c r="A95" s="7">
        <v>92</v>
      </c>
      <c r="B95" s="7" t="s">
        <v>614</v>
      </c>
      <c r="C95" s="10" t="s">
        <v>615</v>
      </c>
      <c r="D95" s="8" t="s">
        <v>567</v>
      </c>
      <c r="E95" s="8" t="s">
        <v>590</v>
      </c>
      <c r="F95" s="10" t="s">
        <v>577</v>
      </c>
      <c r="G95" s="10" t="s">
        <v>439</v>
      </c>
      <c r="H95" s="7" t="s">
        <v>437</v>
      </c>
      <c r="I95" s="10" t="s">
        <v>432</v>
      </c>
      <c r="J95" s="10" t="s">
        <v>433</v>
      </c>
    </row>
    <row r="96" spans="1:10" ht="27.6" x14ac:dyDescent="0.3">
      <c r="A96" s="7">
        <v>93</v>
      </c>
      <c r="B96" s="7" t="s">
        <v>614</v>
      </c>
      <c r="C96" s="10" t="s">
        <v>615</v>
      </c>
      <c r="D96" s="8" t="s">
        <v>567</v>
      </c>
      <c r="E96" s="8" t="s">
        <v>591</v>
      </c>
      <c r="F96" s="10" t="s">
        <v>578</v>
      </c>
      <c r="G96" s="10" t="s">
        <v>442</v>
      </c>
      <c r="H96" s="7" t="s">
        <v>316</v>
      </c>
      <c r="I96" s="10" t="s">
        <v>432</v>
      </c>
      <c r="J96" s="10" t="s">
        <v>440</v>
      </c>
    </row>
    <row r="97" spans="1:10" ht="27.6" x14ac:dyDescent="0.3">
      <c r="A97" s="7">
        <v>94</v>
      </c>
      <c r="B97" s="7" t="s">
        <v>614</v>
      </c>
      <c r="C97" s="10" t="s">
        <v>615</v>
      </c>
      <c r="D97" s="8" t="s">
        <v>567</v>
      </c>
      <c r="E97" s="8" t="s">
        <v>591</v>
      </c>
      <c r="F97" s="10" t="s">
        <v>592</v>
      </c>
      <c r="G97" s="10" t="s">
        <v>446</v>
      </c>
      <c r="H97" s="7" t="s">
        <v>444</v>
      </c>
      <c r="I97" s="10" t="s">
        <v>432</v>
      </c>
      <c r="J97" s="10" t="s">
        <v>440</v>
      </c>
    </row>
    <row r="98" spans="1:10" ht="27.6" x14ac:dyDescent="0.3">
      <c r="A98" s="7">
        <v>95</v>
      </c>
      <c r="B98" s="7" t="s">
        <v>614</v>
      </c>
      <c r="C98" s="10" t="s">
        <v>615</v>
      </c>
      <c r="D98" s="8" t="s">
        <v>567</v>
      </c>
      <c r="E98" s="8" t="s">
        <v>591</v>
      </c>
      <c r="F98" s="10" t="s">
        <v>592</v>
      </c>
      <c r="G98" s="10" t="s">
        <v>449</v>
      </c>
      <c r="H98" s="7" t="s">
        <v>447</v>
      </c>
      <c r="I98" s="10" t="s">
        <v>432</v>
      </c>
      <c r="J98" s="10" t="s">
        <v>440</v>
      </c>
    </row>
    <row r="99" spans="1:10" x14ac:dyDescent="0.3">
      <c r="A99" s="7">
        <v>96</v>
      </c>
      <c r="B99" s="7" t="s">
        <v>614</v>
      </c>
      <c r="C99" s="10" t="s">
        <v>615</v>
      </c>
      <c r="D99" s="8" t="s">
        <v>571</v>
      </c>
      <c r="E99" s="8" t="s">
        <v>593</v>
      </c>
      <c r="F99" s="10" t="s">
        <v>579</v>
      </c>
      <c r="G99" s="10" t="s">
        <v>453</v>
      </c>
      <c r="H99" s="7" t="s">
        <v>450</v>
      </c>
      <c r="I99" s="10" t="s">
        <v>451</v>
      </c>
      <c r="J99" s="10" t="s">
        <v>452</v>
      </c>
    </row>
    <row r="100" spans="1:10" ht="27.6" x14ac:dyDescent="0.3">
      <c r="A100" s="7">
        <v>97</v>
      </c>
      <c r="B100" s="7" t="s">
        <v>614</v>
      </c>
      <c r="C100" s="10" t="s">
        <v>615</v>
      </c>
      <c r="D100" s="8" t="s">
        <v>571</v>
      </c>
      <c r="E100" s="8" t="s">
        <v>593</v>
      </c>
      <c r="F100" s="10" t="s">
        <v>580</v>
      </c>
      <c r="G100" s="10" t="s">
        <v>458</v>
      </c>
      <c r="H100" s="7" t="s">
        <v>456</v>
      </c>
      <c r="I100" s="10" t="s">
        <v>451</v>
      </c>
      <c r="J100" s="10" t="s">
        <v>457</v>
      </c>
    </row>
    <row r="101" spans="1:10" ht="27.6" x14ac:dyDescent="0.3">
      <c r="A101" s="7">
        <v>98</v>
      </c>
      <c r="B101" s="7" t="s">
        <v>614</v>
      </c>
      <c r="C101" s="10" t="s">
        <v>615</v>
      </c>
      <c r="D101" s="8" t="s">
        <v>571</v>
      </c>
      <c r="E101" s="8" t="s">
        <v>594</v>
      </c>
      <c r="F101" s="10" t="s">
        <v>460</v>
      </c>
      <c r="G101" s="10" t="s">
        <v>461</v>
      </c>
      <c r="H101" s="7" t="s">
        <v>459</v>
      </c>
      <c r="I101" s="10" t="s">
        <v>451</v>
      </c>
      <c r="J101" s="10" t="s">
        <v>460</v>
      </c>
    </row>
    <row r="102" spans="1:10" ht="27.6" x14ac:dyDescent="0.3">
      <c r="A102" s="7">
        <v>99</v>
      </c>
      <c r="B102" s="7" t="s">
        <v>614</v>
      </c>
      <c r="C102" s="10" t="s">
        <v>615</v>
      </c>
      <c r="D102" s="8" t="s">
        <v>595</v>
      </c>
      <c r="E102" s="8" t="s">
        <v>596</v>
      </c>
      <c r="F102" s="10" t="s">
        <v>581</v>
      </c>
      <c r="G102" s="10" t="s">
        <v>503</v>
      </c>
      <c r="H102" s="7" t="s">
        <v>499</v>
      </c>
      <c r="I102" s="10" t="s">
        <v>500</v>
      </c>
      <c r="J102" s="10" t="s">
        <v>501</v>
      </c>
    </row>
    <row r="103" spans="1:10" ht="27.6" x14ac:dyDescent="0.3">
      <c r="A103" s="7">
        <v>100</v>
      </c>
      <c r="B103" s="7" t="s">
        <v>614</v>
      </c>
      <c r="C103" s="10" t="s">
        <v>615</v>
      </c>
      <c r="D103" s="8" t="s">
        <v>595</v>
      </c>
      <c r="E103" s="8" t="s">
        <v>596</v>
      </c>
      <c r="F103" s="10" t="s">
        <v>581</v>
      </c>
      <c r="G103" s="10" t="s">
        <v>506</v>
      </c>
      <c r="H103" s="7" t="s">
        <v>504</v>
      </c>
      <c r="I103" s="10" t="s">
        <v>500</v>
      </c>
      <c r="J103" s="10" t="s">
        <v>501</v>
      </c>
    </row>
    <row r="104" spans="1:10" ht="27.6" x14ac:dyDescent="0.3">
      <c r="A104" s="7">
        <v>101</v>
      </c>
      <c r="B104" s="7" t="s">
        <v>614</v>
      </c>
      <c r="C104" s="10" t="s">
        <v>615</v>
      </c>
      <c r="D104" s="8" t="s">
        <v>595</v>
      </c>
      <c r="E104" s="8" t="s">
        <v>596</v>
      </c>
      <c r="F104" s="10" t="s">
        <v>597</v>
      </c>
      <c r="G104" s="10" t="s">
        <v>492</v>
      </c>
      <c r="H104" s="7" t="s">
        <v>489</v>
      </c>
      <c r="I104" s="10" t="s">
        <v>464</v>
      </c>
      <c r="J104" s="10" t="s">
        <v>490</v>
      </c>
    </row>
    <row r="105" spans="1:10" x14ac:dyDescent="0.3">
      <c r="A105" s="7">
        <v>102</v>
      </c>
      <c r="B105" s="7" t="s">
        <v>614</v>
      </c>
      <c r="C105" s="10" t="s">
        <v>615</v>
      </c>
      <c r="D105" s="8" t="s">
        <v>595</v>
      </c>
      <c r="E105" s="8" t="s">
        <v>596</v>
      </c>
      <c r="F105" s="10" t="s">
        <v>597</v>
      </c>
      <c r="G105" s="10" t="s">
        <v>496</v>
      </c>
      <c r="H105" s="7" t="s">
        <v>494</v>
      </c>
      <c r="I105" s="10" t="s">
        <v>464</v>
      </c>
      <c r="J105" s="10" t="s">
        <v>490</v>
      </c>
    </row>
    <row r="106" spans="1:10" x14ac:dyDescent="0.3">
      <c r="A106" s="7">
        <v>103</v>
      </c>
      <c r="B106" s="7" t="s">
        <v>614</v>
      </c>
      <c r="C106" s="10" t="s">
        <v>615</v>
      </c>
      <c r="D106" s="8" t="s">
        <v>595</v>
      </c>
      <c r="E106" s="8" t="s">
        <v>596</v>
      </c>
      <c r="F106" s="10" t="s">
        <v>597</v>
      </c>
      <c r="G106" s="10" t="s">
        <v>498</v>
      </c>
      <c r="H106" s="7" t="s">
        <v>497</v>
      </c>
      <c r="I106" s="10" t="s">
        <v>464</v>
      </c>
      <c r="J106" s="10" t="s">
        <v>490</v>
      </c>
    </row>
    <row r="107" spans="1:10" x14ac:dyDescent="0.3">
      <c r="A107" s="7">
        <v>104</v>
      </c>
      <c r="B107" s="7" t="s">
        <v>614</v>
      </c>
      <c r="C107" s="10" t="s">
        <v>615</v>
      </c>
      <c r="D107" s="8" t="s">
        <v>595</v>
      </c>
      <c r="E107" s="8" t="s">
        <v>598</v>
      </c>
      <c r="F107" s="10" t="s">
        <v>599</v>
      </c>
      <c r="G107" s="10" t="s">
        <v>485</v>
      </c>
      <c r="H107" s="7" t="s">
        <v>483</v>
      </c>
      <c r="I107" s="10" t="s">
        <v>464</v>
      </c>
      <c r="J107" s="10" t="s">
        <v>481</v>
      </c>
    </row>
    <row r="108" spans="1:10" x14ac:dyDescent="0.3">
      <c r="A108" s="7">
        <v>105</v>
      </c>
      <c r="B108" s="7" t="s">
        <v>614</v>
      </c>
      <c r="C108" s="10" t="s">
        <v>615</v>
      </c>
      <c r="D108" s="8" t="s">
        <v>595</v>
      </c>
      <c r="E108" s="8" t="s">
        <v>598</v>
      </c>
      <c r="F108" s="10" t="s">
        <v>599</v>
      </c>
      <c r="G108" s="10" t="s">
        <v>488</v>
      </c>
      <c r="H108" s="7" t="s">
        <v>486</v>
      </c>
      <c r="I108" s="10" t="s">
        <v>464</v>
      </c>
      <c r="J108" s="10" t="s">
        <v>481</v>
      </c>
    </row>
    <row r="109" spans="1:10" x14ac:dyDescent="0.3">
      <c r="A109" s="7">
        <v>106</v>
      </c>
      <c r="B109" s="7" t="s">
        <v>614</v>
      </c>
      <c r="C109" s="10" t="s">
        <v>615</v>
      </c>
      <c r="D109" s="8" t="s">
        <v>595</v>
      </c>
      <c r="E109" s="8" t="s">
        <v>598</v>
      </c>
      <c r="F109" s="10" t="s">
        <v>600</v>
      </c>
      <c r="G109" s="10" t="s">
        <v>475</v>
      </c>
      <c r="H109" s="7" t="s">
        <v>473</v>
      </c>
      <c r="I109" s="10" t="s">
        <v>464</v>
      </c>
      <c r="J109" s="10" t="s">
        <v>465</v>
      </c>
    </row>
    <row r="110" spans="1:10" x14ac:dyDescent="0.3">
      <c r="A110" s="7">
        <v>107</v>
      </c>
      <c r="B110" s="7" t="s">
        <v>614</v>
      </c>
      <c r="C110" s="10" t="s">
        <v>615</v>
      </c>
      <c r="D110" s="8" t="s">
        <v>595</v>
      </c>
      <c r="E110" s="8" t="s">
        <v>598</v>
      </c>
      <c r="F110" s="10" t="s">
        <v>600</v>
      </c>
      <c r="G110" s="10" t="s">
        <v>479</v>
      </c>
      <c r="H110" s="7" t="s">
        <v>477</v>
      </c>
      <c r="I110" s="10" t="s">
        <v>464</v>
      </c>
      <c r="J110" s="10" t="s">
        <v>465</v>
      </c>
    </row>
    <row r="111" spans="1:10" ht="27.6" x14ac:dyDescent="0.3">
      <c r="A111" s="7">
        <v>108</v>
      </c>
      <c r="B111" s="7" t="s">
        <v>614</v>
      </c>
      <c r="C111" s="10" t="s">
        <v>615</v>
      </c>
      <c r="D111" s="8" t="s">
        <v>601</v>
      </c>
      <c r="E111" s="8" t="s">
        <v>602</v>
      </c>
      <c r="F111" s="10" t="s">
        <v>603</v>
      </c>
      <c r="G111" s="10" t="s">
        <v>382</v>
      </c>
      <c r="H111" s="7" t="s">
        <v>379</v>
      </c>
      <c r="I111" s="10" t="s">
        <v>337</v>
      </c>
      <c r="J111" s="10" t="s">
        <v>380</v>
      </c>
    </row>
    <row r="112" spans="1:10" ht="27.6" x14ac:dyDescent="0.3">
      <c r="A112" s="7">
        <v>109</v>
      </c>
      <c r="B112" s="7" t="s">
        <v>614</v>
      </c>
      <c r="C112" s="10" t="s">
        <v>615</v>
      </c>
      <c r="D112" s="8" t="s">
        <v>601</v>
      </c>
      <c r="E112" s="8" t="s">
        <v>602</v>
      </c>
      <c r="F112" s="10" t="s">
        <v>603</v>
      </c>
      <c r="G112" s="10" t="s">
        <v>388</v>
      </c>
      <c r="H112" s="7" t="s">
        <v>386</v>
      </c>
      <c r="I112" s="10" t="s">
        <v>337</v>
      </c>
      <c r="J112" s="10" t="s">
        <v>380</v>
      </c>
    </row>
    <row r="113" spans="1:10" ht="27.6" x14ac:dyDescent="0.3">
      <c r="A113" s="7">
        <v>110</v>
      </c>
      <c r="B113" s="7" t="s">
        <v>614</v>
      </c>
      <c r="C113" s="10" t="s">
        <v>615</v>
      </c>
      <c r="D113" s="8" t="s">
        <v>601</v>
      </c>
      <c r="E113" s="8" t="s">
        <v>602</v>
      </c>
      <c r="F113" s="10" t="s">
        <v>603</v>
      </c>
      <c r="G113" s="10" t="s">
        <v>391</v>
      </c>
      <c r="H113" s="7" t="s">
        <v>389</v>
      </c>
      <c r="I113" s="10" t="s">
        <v>337</v>
      </c>
      <c r="J113" s="10" t="s">
        <v>380</v>
      </c>
    </row>
    <row r="114" spans="1:10" ht="27.6" x14ac:dyDescent="0.3">
      <c r="A114" s="7">
        <v>111</v>
      </c>
      <c r="B114" s="7" t="s">
        <v>614</v>
      </c>
      <c r="C114" s="10" t="s">
        <v>615</v>
      </c>
      <c r="D114" s="8" t="s">
        <v>601</v>
      </c>
      <c r="E114" s="8" t="s">
        <v>602</v>
      </c>
      <c r="F114" s="10" t="s">
        <v>604</v>
      </c>
      <c r="G114" s="10" t="s">
        <v>394</v>
      </c>
      <c r="H114" s="7" t="s">
        <v>392</v>
      </c>
      <c r="I114" s="10" t="s">
        <v>337</v>
      </c>
      <c r="J114" s="10" t="s">
        <v>380</v>
      </c>
    </row>
    <row r="115" spans="1:10" ht="27.6" x14ac:dyDescent="0.3">
      <c r="A115" s="7">
        <v>112</v>
      </c>
      <c r="B115" s="7" t="s">
        <v>614</v>
      </c>
      <c r="C115" s="10" t="s">
        <v>615</v>
      </c>
      <c r="D115" s="8" t="s">
        <v>601</v>
      </c>
      <c r="E115" s="8" t="s">
        <v>602</v>
      </c>
      <c r="F115" s="10" t="s">
        <v>604</v>
      </c>
      <c r="G115" s="10" t="s">
        <v>397</v>
      </c>
      <c r="H115" s="7" t="s">
        <v>395</v>
      </c>
      <c r="I115" s="10" t="s">
        <v>337</v>
      </c>
      <c r="J115" s="10" t="s">
        <v>380</v>
      </c>
    </row>
    <row r="116" spans="1:10" ht="27.6" x14ac:dyDescent="0.3">
      <c r="A116" s="7">
        <v>113</v>
      </c>
      <c r="B116" s="7" t="s">
        <v>614</v>
      </c>
      <c r="C116" s="10" t="s">
        <v>615</v>
      </c>
      <c r="D116" s="8" t="s">
        <v>601</v>
      </c>
      <c r="E116" s="8" t="s">
        <v>605</v>
      </c>
      <c r="F116" s="10" t="s">
        <v>606</v>
      </c>
      <c r="G116" s="10" t="s">
        <v>510</v>
      </c>
      <c r="H116" s="7" t="s">
        <v>507</v>
      </c>
      <c r="I116" s="10" t="s">
        <v>500</v>
      </c>
      <c r="J116" s="10" t="s">
        <v>508</v>
      </c>
    </row>
    <row r="117" spans="1:10" ht="27.6" x14ac:dyDescent="0.3">
      <c r="A117" s="7">
        <v>114</v>
      </c>
      <c r="B117" s="7" t="s">
        <v>614</v>
      </c>
      <c r="C117" s="10" t="s">
        <v>615</v>
      </c>
      <c r="D117" s="8" t="s">
        <v>601</v>
      </c>
      <c r="E117" s="8" t="s">
        <v>605</v>
      </c>
      <c r="F117" s="10" t="s">
        <v>606</v>
      </c>
      <c r="G117" s="10" t="s">
        <v>514</v>
      </c>
      <c r="H117" s="7" t="s">
        <v>512</v>
      </c>
      <c r="I117" s="10" t="s">
        <v>500</v>
      </c>
      <c r="J117" s="10" t="s">
        <v>508</v>
      </c>
    </row>
    <row r="118" spans="1:10" ht="27.6" x14ac:dyDescent="0.3">
      <c r="A118" s="7">
        <v>115</v>
      </c>
      <c r="B118" s="7" t="s">
        <v>614</v>
      </c>
      <c r="C118" s="10" t="s">
        <v>615</v>
      </c>
      <c r="D118" s="8" t="s">
        <v>601</v>
      </c>
      <c r="E118" s="8" t="s">
        <v>605</v>
      </c>
      <c r="F118" s="10" t="s">
        <v>606</v>
      </c>
      <c r="G118" s="10" t="s">
        <v>517</v>
      </c>
      <c r="H118" s="7" t="s">
        <v>515</v>
      </c>
      <c r="I118" s="10" t="s">
        <v>500</v>
      </c>
      <c r="J118" s="10" t="s">
        <v>508</v>
      </c>
    </row>
    <row r="119" spans="1:10" ht="27.6" x14ac:dyDescent="0.3">
      <c r="A119" s="7">
        <v>116</v>
      </c>
      <c r="B119" s="7" t="s">
        <v>614</v>
      </c>
      <c r="C119" s="10" t="s">
        <v>615</v>
      </c>
      <c r="D119" s="8" t="s">
        <v>607</v>
      </c>
      <c r="E119" s="8" t="s">
        <v>608</v>
      </c>
      <c r="F119" s="10" t="s">
        <v>609</v>
      </c>
      <c r="G119" s="10" t="s">
        <v>521</v>
      </c>
      <c r="H119" s="7" t="s">
        <v>518</v>
      </c>
      <c r="I119" s="10" t="s">
        <v>500</v>
      </c>
      <c r="J119" s="10" t="s">
        <v>519</v>
      </c>
    </row>
    <row r="120" spans="1:10" ht="27.6" x14ac:dyDescent="0.3">
      <c r="A120" s="7">
        <v>117</v>
      </c>
      <c r="B120" s="7" t="s">
        <v>614</v>
      </c>
      <c r="C120" s="10" t="s">
        <v>615</v>
      </c>
      <c r="D120" s="8" t="s">
        <v>607</v>
      </c>
      <c r="E120" s="8" t="s">
        <v>608</v>
      </c>
      <c r="F120" s="10" t="s">
        <v>610</v>
      </c>
      <c r="G120" s="10" t="s">
        <v>525</v>
      </c>
      <c r="H120" s="7" t="s">
        <v>523</v>
      </c>
      <c r="I120" s="10" t="s">
        <v>500</v>
      </c>
      <c r="J120" s="10" t="s">
        <v>519</v>
      </c>
    </row>
    <row r="121" spans="1:10" ht="27.6" x14ac:dyDescent="0.3">
      <c r="A121" s="7">
        <v>118</v>
      </c>
      <c r="B121" s="7" t="s">
        <v>614</v>
      </c>
      <c r="C121" s="10" t="s">
        <v>615</v>
      </c>
      <c r="D121" s="8" t="s">
        <v>607</v>
      </c>
      <c r="E121" s="8" t="s">
        <v>611</v>
      </c>
      <c r="F121" s="10" t="s">
        <v>612</v>
      </c>
      <c r="G121" s="10" t="s">
        <v>530</v>
      </c>
      <c r="H121" s="7" t="s">
        <v>526</v>
      </c>
      <c r="I121" s="10" t="s">
        <v>527</v>
      </c>
      <c r="J121" s="10" t="s">
        <v>528</v>
      </c>
    </row>
    <row r="122" spans="1:10" x14ac:dyDescent="0.3">
      <c r="A122" s="7">
        <v>119</v>
      </c>
      <c r="B122" s="7" t="s">
        <v>614</v>
      </c>
      <c r="C122" s="10" t="s">
        <v>615</v>
      </c>
      <c r="D122" s="8" t="s">
        <v>607</v>
      </c>
      <c r="E122" s="8" t="s">
        <v>611</v>
      </c>
      <c r="F122" s="10" t="s">
        <v>612</v>
      </c>
      <c r="G122" s="10" t="s">
        <v>534</v>
      </c>
      <c r="H122" s="7" t="s">
        <v>532</v>
      </c>
      <c r="I122" s="10" t="s">
        <v>527</v>
      </c>
      <c r="J122" s="10" t="s">
        <v>528</v>
      </c>
    </row>
    <row r="123" spans="1:10" x14ac:dyDescent="0.3">
      <c r="A123" s="7">
        <v>120</v>
      </c>
      <c r="B123" s="7" t="s">
        <v>614</v>
      </c>
      <c r="C123" s="10" t="s">
        <v>615</v>
      </c>
      <c r="D123" s="8" t="s">
        <v>607</v>
      </c>
      <c r="E123" s="8" t="s">
        <v>611</v>
      </c>
      <c r="F123" s="10" t="s">
        <v>613</v>
      </c>
      <c r="G123" s="10" t="s">
        <v>538</v>
      </c>
      <c r="H123" s="7" t="s">
        <v>535</v>
      </c>
      <c r="I123" s="10" t="s">
        <v>527</v>
      </c>
      <c r="J123" s="10" t="s">
        <v>536</v>
      </c>
    </row>
    <row r="124" spans="1:10" x14ac:dyDescent="0.3">
      <c r="A124" s="7">
        <v>121</v>
      </c>
      <c r="B124" s="7" t="s">
        <v>614</v>
      </c>
      <c r="C124" s="10" t="s">
        <v>615</v>
      </c>
      <c r="D124" s="8" t="s">
        <v>607</v>
      </c>
      <c r="E124" s="8" t="s">
        <v>611</v>
      </c>
      <c r="F124" s="10" t="s">
        <v>613</v>
      </c>
      <c r="G124" s="10" t="s">
        <v>541</v>
      </c>
      <c r="H124" s="7" t="s">
        <v>539</v>
      </c>
      <c r="I124" s="10" t="s">
        <v>527</v>
      </c>
      <c r="J124" s="10" t="s">
        <v>536</v>
      </c>
    </row>
    <row r="125" spans="1:10" ht="27.6" x14ac:dyDescent="0.3">
      <c r="A125" s="7">
        <v>122</v>
      </c>
      <c r="B125" s="7" t="s">
        <v>616</v>
      </c>
      <c r="C125" s="10" t="s">
        <v>617</v>
      </c>
      <c r="D125" s="8" t="s">
        <v>564</v>
      </c>
      <c r="E125" s="8" t="s">
        <v>586</v>
      </c>
      <c r="F125" s="10" t="s">
        <v>587</v>
      </c>
      <c r="G125" s="10" t="s">
        <v>282</v>
      </c>
      <c r="H125" s="7" t="s">
        <v>264</v>
      </c>
      <c r="I125" s="10" t="s">
        <v>250</v>
      </c>
      <c r="J125" s="10" t="s">
        <v>260</v>
      </c>
    </row>
    <row r="126" spans="1:10" ht="27.6" x14ac:dyDescent="0.3">
      <c r="A126" s="7">
        <v>123</v>
      </c>
      <c r="B126" s="7" t="s">
        <v>616</v>
      </c>
      <c r="C126" s="10" t="s">
        <v>617</v>
      </c>
      <c r="D126" s="8" t="s">
        <v>564</v>
      </c>
      <c r="E126" s="8" t="s">
        <v>586</v>
      </c>
      <c r="F126" s="10" t="s">
        <v>587</v>
      </c>
      <c r="G126" s="10" t="s">
        <v>300</v>
      </c>
      <c r="H126" s="7" t="s">
        <v>289</v>
      </c>
      <c r="I126" s="10" t="s">
        <v>250</v>
      </c>
      <c r="J126" s="10" t="s">
        <v>286</v>
      </c>
    </row>
    <row r="127" spans="1:10" ht="27.6" x14ac:dyDescent="0.3">
      <c r="A127" s="7">
        <v>124</v>
      </c>
      <c r="B127" s="7" t="s">
        <v>616</v>
      </c>
      <c r="C127" s="10" t="s">
        <v>617</v>
      </c>
      <c r="D127" s="8" t="s">
        <v>564</v>
      </c>
      <c r="E127" s="8" t="s">
        <v>586</v>
      </c>
      <c r="F127" s="10" t="s">
        <v>587</v>
      </c>
      <c r="G127" s="10" t="s">
        <v>302</v>
      </c>
      <c r="H127" s="7" t="s">
        <v>294</v>
      </c>
      <c r="I127" s="10" t="s">
        <v>250</v>
      </c>
      <c r="J127" s="10" t="s">
        <v>286</v>
      </c>
    </row>
    <row r="128" spans="1:10" ht="27.6" x14ac:dyDescent="0.3">
      <c r="A128" s="7">
        <v>125</v>
      </c>
      <c r="B128" s="7" t="s">
        <v>616</v>
      </c>
      <c r="C128" s="10" t="s">
        <v>617</v>
      </c>
      <c r="D128" s="8" t="s">
        <v>564</v>
      </c>
      <c r="E128" s="8" t="s">
        <v>586</v>
      </c>
      <c r="F128" s="10" t="s">
        <v>573</v>
      </c>
      <c r="G128" s="10" t="s">
        <v>402</v>
      </c>
      <c r="H128" s="7" t="s">
        <v>398</v>
      </c>
      <c r="I128" s="10" t="s">
        <v>399</v>
      </c>
      <c r="J128" s="10" t="s">
        <v>400</v>
      </c>
    </row>
    <row r="129" spans="1:10" ht="27.6" x14ac:dyDescent="0.3">
      <c r="A129" s="7">
        <v>126</v>
      </c>
      <c r="B129" s="7" t="s">
        <v>616</v>
      </c>
      <c r="C129" s="10" t="s">
        <v>617</v>
      </c>
      <c r="D129" s="8" t="s">
        <v>564</v>
      </c>
      <c r="E129" s="8" t="s">
        <v>586</v>
      </c>
      <c r="F129" s="10" t="s">
        <v>573</v>
      </c>
      <c r="G129" s="10" t="s">
        <v>406</v>
      </c>
      <c r="H129" s="7" t="s">
        <v>404</v>
      </c>
      <c r="I129" s="10" t="s">
        <v>399</v>
      </c>
      <c r="J129" s="10" t="s">
        <v>400</v>
      </c>
    </row>
    <row r="130" spans="1:10" ht="27.6" x14ac:dyDescent="0.3">
      <c r="A130" s="7">
        <v>127</v>
      </c>
      <c r="B130" s="7" t="s">
        <v>616</v>
      </c>
      <c r="C130" s="10" t="s">
        <v>617</v>
      </c>
      <c r="D130" s="8" t="s">
        <v>564</v>
      </c>
      <c r="E130" s="8" t="s">
        <v>586</v>
      </c>
      <c r="F130" s="10" t="s">
        <v>573</v>
      </c>
      <c r="G130" s="10" t="s">
        <v>409</v>
      </c>
      <c r="H130" s="7" t="s">
        <v>407</v>
      </c>
      <c r="I130" s="10" t="s">
        <v>399</v>
      </c>
      <c r="J130" s="10" t="s">
        <v>400</v>
      </c>
    </row>
    <row r="131" spans="1:10" ht="27.6" x14ac:dyDescent="0.3">
      <c r="A131" s="7">
        <v>128</v>
      </c>
      <c r="B131" s="7" t="s">
        <v>616</v>
      </c>
      <c r="C131" s="10" t="s">
        <v>617</v>
      </c>
      <c r="D131" s="8" t="s">
        <v>564</v>
      </c>
      <c r="E131" s="8" t="s">
        <v>586</v>
      </c>
      <c r="F131" s="10" t="s">
        <v>573</v>
      </c>
      <c r="G131" s="10" t="s">
        <v>420</v>
      </c>
      <c r="H131" s="7" t="s">
        <v>418</v>
      </c>
      <c r="I131" s="10" t="s">
        <v>399</v>
      </c>
      <c r="J131" s="10" t="s">
        <v>411</v>
      </c>
    </row>
    <row r="132" spans="1:10" ht="27.6" x14ac:dyDescent="0.3">
      <c r="A132" s="7">
        <v>129</v>
      </c>
      <c r="B132" s="7" t="s">
        <v>616</v>
      </c>
      <c r="C132" s="10" t="s">
        <v>617</v>
      </c>
      <c r="D132" s="8" t="s">
        <v>564</v>
      </c>
      <c r="E132" s="8" t="s">
        <v>588</v>
      </c>
      <c r="F132" s="10" t="s">
        <v>574</v>
      </c>
      <c r="G132" s="10" t="s">
        <v>413</v>
      </c>
      <c r="H132" s="7" t="s">
        <v>410</v>
      </c>
      <c r="I132" s="10" t="s">
        <v>399</v>
      </c>
      <c r="J132" s="10" t="s">
        <v>411</v>
      </c>
    </row>
    <row r="133" spans="1:10" ht="27.6" x14ac:dyDescent="0.3">
      <c r="A133" s="7">
        <v>130</v>
      </c>
      <c r="B133" s="7" t="s">
        <v>616</v>
      </c>
      <c r="C133" s="10" t="s">
        <v>617</v>
      </c>
      <c r="D133" s="8" t="s">
        <v>564</v>
      </c>
      <c r="E133" s="8" t="s">
        <v>588</v>
      </c>
      <c r="F133" s="10" t="s">
        <v>574</v>
      </c>
      <c r="G133" s="10" t="s">
        <v>417</v>
      </c>
      <c r="H133" s="7" t="s">
        <v>415</v>
      </c>
      <c r="I133" s="10" t="s">
        <v>399</v>
      </c>
      <c r="J133" s="10" t="s">
        <v>411</v>
      </c>
    </row>
    <row r="134" spans="1:10" ht="27.6" x14ac:dyDescent="0.3">
      <c r="A134" s="7">
        <v>131</v>
      </c>
      <c r="B134" s="7" t="s">
        <v>616</v>
      </c>
      <c r="C134" s="10" t="s">
        <v>617</v>
      </c>
      <c r="D134" s="8" t="s">
        <v>564</v>
      </c>
      <c r="E134" s="8" t="s">
        <v>588</v>
      </c>
      <c r="F134" s="10" t="s">
        <v>589</v>
      </c>
      <c r="G134" s="10" t="s">
        <v>424</v>
      </c>
      <c r="H134" s="7" t="s">
        <v>421</v>
      </c>
      <c r="I134" s="10" t="s">
        <v>399</v>
      </c>
      <c r="J134" s="10" t="s">
        <v>422</v>
      </c>
    </row>
    <row r="135" spans="1:10" ht="27.6" x14ac:dyDescent="0.3">
      <c r="A135" s="7">
        <v>132</v>
      </c>
      <c r="B135" s="7" t="s">
        <v>616</v>
      </c>
      <c r="C135" s="10" t="s">
        <v>617</v>
      </c>
      <c r="D135" s="8" t="s">
        <v>564</v>
      </c>
      <c r="E135" s="8" t="s">
        <v>588</v>
      </c>
      <c r="F135" s="10" t="s">
        <v>589</v>
      </c>
      <c r="G135" s="10" t="s">
        <v>427</v>
      </c>
      <c r="H135" s="7" t="s">
        <v>425</v>
      </c>
      <c r="I135" s="10" t="s">
        <v>399</v>
      </c>
      <c r="J135" s="10" t="s">
        <v>422</v>
      </c>
    </row>
    <row r="136" spans="1:10" ht="27.6" x14ac:dyDescent="0.3">
      <c r="A136" s="7">
        <v>133</v>
      </c>
      <c r="B136" s="7" t="s">
        <v>616</v>
      </c>
      <c r="C136" s="10" t="s">
        <v>617</v>
      </c>
      <c r="D136" s="8" t="s">
        <v>564</v>
      </c>
      <c r="E136" s="8" t="s">
        <v>588</v>
      </c>
      <c r="F136" s="10" t="s">
        <v>589</v>
      </c>
      <c r="G136" s="10" t="s">
        <v>430</v>
      </c>
      <c r="H136" s="7" t="s">
        <v>428</v>
      </c>
      <c r="I136" s="10" t="s">
        <v>399</v>
      </c>
      <c r="J136" s="10" t="s">
        <v>422</v>
      </c>
    </row>
    <row r="137" spans="1:10" ht="27.6" x14ac:dyDescent="0.3">
      <c r="A137" s="7">
        <v>134</v>
      </c>
      <c r="B137" s="7" t="s">
        <v>616</v>
      </c>
      <c r="C137" s="10" t="s">
        <v>617</v>
      </c>
      <c r="D137" s="8" t="s">
        <v>567</v>
      </c>
      <c r="E137" s="8" t="s">
        <v>590</v>
      </c>
      <c r="F137" s="10" t="s">
        <v>577</v>
      </c>
      <c r="G137" s="10" t="s">
        <v>435</v>
      </c>
      <c r="H137" s="7" t="s">
        <v>431</v>
      </c>
      <c r="I137" s="10" t="s">
        <v>432</v>
      </c>
      <c r="J137" s="10" t="s">
        <v>433</v>
      </c>
    </row>
    <row r="138" spans="1:10" ht="27.6" x14ac:dyDescent="0.3">
      <c r="A138" s="7">
        <v>135</v>
      </c>
      <c r="B138" s="7" t="s">
        <v>616</v>
      </c>
      <c r="C138" s="10" t="s">
        <v>617</v>
      </c>
      <c r="D138" s="8" t="s">
        <v>567</v>
      </c>
      <c r="E138" s="8" t="s">
        <v>590</v>
      </c>
      <c r="F138" s="10" t="s">
        <v>577</v>
      </c>
      <c r="G138" s="10" t="s">
        <v>439</v>
      </c>
      <c r="H138" s="7" t="s">
        <v>437</v>
      </c>
      <c r="I138" s="10" t="s">
        <v>432</v>
      </c>
      <c r="J138" s="10" t="s">
        <v>433</v>
      </c>
    </row>
    <row r="139" spans="1:10" ht="27.6" x14ac:dyDescent="0.3">
      <c r="A139" s="7">
        <v>136</v>
      </c>
      <c r="B139" s="7" t="s">
        <v>616</v>
      </c>
      <c r="C139" s="10" t="s">
        <v>617</v>
      </c>
      <c r="D139" s="8" t="s">
        <v>567</v>
      </c>
      <c r="E139" s="8" t="s">
        <v>590</v>
      </c>
      <c r="F139" s="10" t="s">
        <v>618</v>
      </c>
      <c r="G139" s="10" t="s">
        <v>215</v>
      </c>
      <c r="H139" s="7" t="s">
        <v>212</v>
      </c>
      <c r="I139" s="10" t="s">
        <v>198</v>
      </c>
      <c r="J139" s="10" t="s">
        <v>213</v>
      </c>
    </row>
    <row r="140" spans="1:10" ht="27.6" x14ac:dyDescent="0.3">
      <c r="A140" s="7">
        <v>137</v>
      </c>
      <c r="B140" s="7" t="s">
        <v>616</v>
      </c>
      <c r="C140" s="10" t="s">
        <v>617</v>
      </c>
      <c r="D140" s="8" t="s">
        <v>567</v>
      </c>
      <c r="E140" s="8" t="s">
        <v>590</v>
      </c>
      <c r="F140" s="10" t="s">
        <v>618</v>
      </c>
      <c r="G140" s="10" t="s">
        <v>221</v>
      </c>
      <c r="H140" s="7" t="s">
        <v>219</v>
      </c>
      <c r="I140" s="10" t="s">
        <v>198</v>
      </c>
      <c r="J140" s="10" t="s">
        <v>213</v>
      </c>
    </row>
    <row r="141" spans="1:10" ht="27.6" x14ac:dyDescent="0.3">
      <c r="A141" s="7">
        <v>138</v>
      </c>
      <c r="B141" s="7" t="s">
        <v>616</v>
      </c>
      <c r="C141" s="10" t="s">
        <v>617</v>
      </c>
      <c r="D141" s="8" t="s">
        <v>567</v>
      </c>
      <c r="E141" s="8" t="s">
        <v>590</v>
      </c>
      <c r="F141" s="10" t="s">
        <v>618</v>
      </c>
      <c r="G141" s="10" t="s">
        <v>224</v>
      </c>
      <c r="H141" s="7" t="s">
        <v>222</v>
      </c>
      <c r="I141" s="10" t="s">
        <v>198</v>
      </c>
      <c r="J141" s="10" t="s">
        <v>213</v>
      </c>
    </row>
    <row r="142" spans="1:10" ht="27.6" x14ac:dyDescent="0.3">
      <c r="A142" s="7">
        <v>139</v>
      </c>
      <c r="B142" s="7" t="s">
        <v>616</v>
      </c>
      <c r="C142" s="10" t="s">
        <v>617</v>
      </c>
      <c r="D142" s="8" t="s">
        <v>567</v>
      </c>
      <c r="E142" s="8" t="s">
        <v>590</v>
      </c>
      <c r="F142" s="10" t="s">
        <v>618</v>
      </c>
      <c r="G142" s="10" t="s">
        <v>227</v>
      </c>
      <c r="H142" s="7" t="s">
        <v>225</v>
      </c>
      <c r="I142" s="10" t="s">
        <v>198</v>
      </c>
      <c r="J142" s="10" t="s">
        <v>213</v>
      </c>
    </row>
    <row r="143" spans="1:10" ht="27.6" x14ac:dyDescent="0.3">
      <c r="A143" s="7">
        <v>140</v>
      </c>
      <c r="B143" s="7" t="s">
        <v>616</v>
      </c>
      <c r="C143" s="10" t="s">
        <v>617</v>
      </c>
      <c r="D143" s="8" t="s">
        <v>567</v>
      </c>
      <c r="E143" s="8" t="s">
        <v>590</v>
      </c>
      <c r="F143" s="10" t="s">
        <v>618</v>
      </c>
      <c r="G143" s="10" t="s">
        <v>230</v>
      </c>
      <c r="H143" s="7" t="s">
        <v>228</v>
      </c>
      <c r="I143" s="10" t="s">
        <v>198</v>
      </c>
      <c r="J143" s="10" t="s">
        <v>213</v>
      </c>
    </row>
    <row r="144" spans="1:10" ht="27.6" x14ac:dyDescent="0.3">
      <c r="A144" s="7">
        <v>141</v>
      </c>
      <c r="B144" s="7" t="s">
        <v>616</v>
      </c>
      <c r="C144" s="10" t="s">
        <v>617</v>
      </c>
      <c r="D144" s="8" t="s">
        <v>567</v>
      </c>
      <c r="E144" s="8" t="s">
        <v>590</v>
      </c>
      <c r="F144" s="10" t="s">
        <v>618</v>
      </c>
      <c r="G144" s="10" t="s">
        <v>233</v>
      </c>
      <c r="H144" s="7" t="s">
        <v>231</v>
      </c>
      <c r="I144" s="10" t="s">
        <v>198</v>
      </c>
      <c r="J144" s="10" t="s">
        <v>213</v>
      </c>
    </row>
    <row r="145" spans="1:10" ht="27.6" x14ac:dyDescent="0.3">
      <c r="A145" s="7">
        <v>142</v>
      </c>
      <c r="B145" s="7" t="s">
        <v>616</v>
      </c>
      <c r="C145" s="10" t="s">
        <v>617</v>
      </c>
      <c r="D145" s="8" t="s">
        <v>567</v>
      </c>
      <c r="E145" s="8" t="s">
        <v>590</v>
      </c>
      <c r="F145" s="10" t="s">
        <v>618</v>
      </c>
      <c r="G145" s="10" t="s">
        <v>236</v>
      </c>
      <c r="H145" s="7" t="s">
        <v>234</v>
      </c>
      <c r="I145" s="10" t="s">
        <v>198</v>
      </c>
      <c r="J145" s="10" t="s">
        <v>213</v>
      </c>
    </row>
    <row r="146" spans="1:10" ht="27.6" x14ac:dyDescent="0.3">
      <c r="A146" s="7">
        <v>143</v>
      </c>
      <c r="B146" s="7" t="s">
        <v>616</v>
      </c>
      <c r="C146" s="10" t="s">
        <v>617</v>
      </c>
      <c r="D146" s="8" t="s">
        <v>567</v>
      </c>
      <c r="E146" s="8" t="s">
        <v>590</v>
      </c>
      <c r="F146" s="10" t="s">
        <v>618</v>
      </c>
      <c r="G146" s="10" t="s">
        <v>239</v>
      </c>
      <c r="H146" s="7" t="s">
        <v>237</v>
      </c>
      <c r="I146" s="10" t="s">
        <v>198</v>
      </c>
      <c r="J146" s="10" t="s">
        <v>213</v>
      </c>
    </row>
    <row r="147" spans="1:10" ht="27.6" x14ac:dyDescent="0.3">
      <c r="A147" s="7">
        <v>144</v>
      </c>
      <c r="B147" s="7" t="s">
        <v>616</v>
      </c>
      <c r="C147" s="10" t="s">
        <v>617</v>
      </c>
      <c r="D147" s="8" t="s">
        <v>567</v>
      </c>
      <c r="E147" s="8" t="s">
        <v>590</v>
      </c>
      <c r="F147" s="10" t="s">
        <v>618</v>
      </c>
      <c r="G147" s="10" t="s">
        <v>242</v>
      </c>
      <c r="H147" s="7" t="s">
        <v>240</v>
      </c>
      <c r="I147" s="10" t="s">
        <v>198</v>
      </c>
      <c r="J147" s="10" t="s">
        <v>213</v>
      </c>
    </row>
    <row r="148" spans="1:10" ht="27.6" x14ac:dyDescent="0.3">
      <c r="A148" s="7">
        <v>145</v>
      </c>
      <c r="B148" s="7" t="s">
        <v>616</v>
      </c>
      <c r="C148" s="10" t="s">
        <v>617</v>
      </c>
      <c r="D148" s="8" t="s">
        <v>567</v>
      </c>
      <c r="E148" s="8" t="s">
        <v>590</v>
      </c>
      <c r="F148" s="10" t="s">
        <v>618</v>
      </c>
      <c r="G148" s="10" t="s">
        <v>245</v>
      </c>
      <c r="H148" s="7" t="s">
        <v>243</v>
      </c>
      <c r="I148" s="10" t="s">
        <v>198</v>
      </c>
      <c r="J148" s="10" t="s">
        <v>213</v>
      </c>
    </row>
    <row r="149" spans="1:10" ht="27.6" x14ac:dyDescent="0.3">
      <c r="A149" s="7">
        <v>146</v>
      </c>
      <c r="B149" s="7" t="s">
        <v>616</v>
      </c>
      <c r="C149" s="10" t="s">
        <v>617</v>
      </c>
      <c r="D149" s="8" t="s">
        <v>567</v>
      </c>
      <c r="E149" s="8" t="s">
        <v>590</v>
      </c>
      <c r="F149" s="10" t="s">
        <v>618</v>
      </c>
      <c r="G149" s="10" t="s">
        <v>248</v>
      </c>
      <c r="H149" s="7" t="s">
        <v>246</v>
      </c>
      <c r="I149" s="10" t="s">
        <v>198</v>
      </c>
      <c r="J149" s="10" t="s">
        <v>213</v>
      </c>
    </row>
    <row r="150" spans="1:10" ht="27.6" x14ac:dyDescent="0.3">
      <c r="A150" s="7">
        <v>147</v>
      </c>
      <c r="B150" s="7" t="s">
        <v>616</v>
      </c>
      <c r="C150" s="10" t="s">
        <v>617</v>
      </c>
      <c r="D150" s="8" t="s">
        <v>567</v>
      </c>
      <c r="E150" s="8" t="s">
        <v>591</v>
      </c>
      <c r="F150" s="10" t="s">
        <v>578</v>
      </c>
      <c r="G150" s="10" t="s">
        <v>442</v>
      </c>
      <c r="H150" s="7" t="s">
        <v>316</v>
      </c>
      <c r="I150" s="10" t="s">
        <v>432</v>
      </c>
      <c r="J150" s="10" t="s">
        <v>440</v>
      </c>
    </row>
    <row r="151" spans="1:10" ht="27.6" x14ac:dyDescent="0.3">
      <c r="A151" s="7">
        <v>148</v>
      </c>
      <c r="B151" s="7" t="s">
        <v>616</v>
      </c>
      <c r="C151" s="10" t="s">
        <v>617</v>
      </c>
      <c r="D151" s="8" t="s">
        <v>567</v>
      </c>
      <c r="E151" s="8" t="s">
        <v>591</v>
      </c>
      <c r="F151" s="10" t="s">
        <v>592</v>
      </c>
      <c r="G151" s="10" t="s">
        <v>446</v>
      </c>
      <c r="H151" s="7" t="s">
        <v>444</v>
      </c>
      <c r="I151" s="10" t="s">
        <v>432</v>
      </c>
      <c r="J151" s="10" t="s">
        <v>440</v>
      </c>
    </row>
    <row r="152" spans="1:10" ht="27.6" x14ac:dyDescent="0.3">
      <c r="A152" s="7">
        <v>149</v>
      </c>
      <c r="B152" s="7" t="s">
        <v>616</v>
      </c>
      <c r="C152" s="10" t="s">
        <v>617</v>
      </c>
      <c r="D152" s="8" t="s">
        <v>567</v>
      </c>
      <c r="E152" s="8" t="s">
        <v>591</v>
      </c>
      <c r="F152" s="10" t="s">
        <v>592</v>
      </c>
      <c r="G152" s="10" t="s">
        <v>449</v>
      </c>
      <c r="H152" s="7" t="s">
        <v>447</v>
      </c>
      <c r="I152" s="10" t="s">
        <v>432</v>
      </c>
      <c r="J152" s="10" t="s">
        <v>440</v>
      </c>
    </row>
    <row r="153" spans="1:10" ht="27.6" x14ac:dyDescent="0.3">
      <c r="A153" s="7">
        <v>150</v>
      </c>
      <c r="B153" s="7" t="s">
        <v>616</v>
      </c>
      <c r="C153" s="10" t="s">
        <v>617</v>
      </c>
      <c r="D153" s="8" t="s">
        <v>571</v>
      </c>
      <c r="E153" s="8" t="s">
        <v>593</v>
      </c>
      <c r="F153" s="10" t="s">
        <v>579</v>
      </c>
      <c r="G153" s="10" t="s">
        <v>453</v>
      </c>
      <c r="H153" s="7" t="s">
        <v>450</v>
      </c>
      <c r="I153" s="10" t="s">
        <v>451</v>
      </c>
      <c r="J153" s="10" t="s">
        <v>452</v>
      </c>
    </row>
    <row r="154" spans="1:10" ht="27.6" x14ac:dyDescent="0.3">
      <c r="A154" s="7">
        <v>151</v>
      </c>
      <c r="B154" s="7" t="s">
        <v>616</v>
      </c>
      <c r="C154" s="10" t="s">
        <v>617</v>
      </c>
      <c r="D154" s="8" t="s">
        <v>571</v>
      </c>
      <c r="E154" s="8" t="s">
        <v>593</v>
      </c>
      <c r="F154" s="10" t="s">
        <v>580</v>
      </c>
      <c r="G154" s="10" t="s">
        <v>458</v>
      </c>
      <c r="H154" s="7" t="s">
        <v>456</v>
      </c>
      <c r="I154" s="10" t="s">
        <v>451</v>
      </c>
      <c r="J154" s="10" t="s">
        <v>457</v>
      </c>
    </row>
    <row r="155" spans="1:10" ht="27.6" x14ac:dyDescent="0.3">
      <c r="A155" s="7">
        <v>152</v>
      </c>
      <c r="B155" s="7" t="s">
        <v>616</v>
      </c>
      <c r="C155" s="10" t="s">
        <v>617</v>
      </c>
      <c r="D155" s="8" t="s">
        <v>571</v>
      </c>
      <c r="E155" s="8" t="s">
        <v>594</v>
      </c>
      <c r="F155" s="10" t="s">
        <v>460</v>
      </c>
      <c r="G155" s="10" t="s">
        <v>461</v>
      </c>
      <c r="H155" s="7" t="s">
        <v>459</v>
      </c>
      <c r="I155" s="10" t="s">
        <v>451</v>
      </c>
      <c r="J155" s="10" t="s">
        <v>460</v>
      </c>
    </row>
    <row r="156" spans="1:10" ht="27.6" x14ac:dyDescent="0.3">
      <c r="A156" s="7">
        <v>153</v>
      </c>
      <c r="B156" s="7" t="s">
        <v>616</v>
      </c>
      <c r="C156" s="10" t="s">
        <v>617</v>
      </c>
      <c r="D156" s="8" t="s">
        <v>595</v>
      </c>
      <c r="E156" s="8" t="s">
        <v>596</v>
      </c>
      <c r="F156" s="10" t="s">
        <v>581</v>
      </c>
      <c r="G156" s="10" t="s">
        <v>503</v>
      </c>
      <c r="H156" s="7" t="s">
        <v>499</v>
      </c>
      <c r="I156" s="10" t="s">
        <v>500</v>
      </c>
      <c r="J156" s="10" t="s">
        <v>501</v>
      </c>
    </row>
    <row r="157" spans="1:10" ht="27.6" x14ac:dyDescent="0.3">
      <c r="A157" s="7">
        <v>154</v>
      </c>
      <c r="B157" s="7" t="s">
        <v>616</v>
      </c>
      <c r="C157" s="10" t="s">
        <v>617</v>
      </c>
      <c r="D157" s="8" t="s">
        <v>595</v>
      </c>
      <c r="E157" s="8" t="s">
        <v>596</v>
      </c>
      <c r="F157" s="10" t="s">
        <v>581</v>
      </c>
      <c r="G157" s="10" t="s">
        <v>506</v>
      </c>
      <c r="H157" s="7" t="s">
        <v>504</v>
      </c>
      <c r="I157" s="10" t="s">
        <v>500</v>
      </c>
      <c r="J157" s="10" t="s">
        <v>501</v>
      </c>
    </row>
    <row r="158" spans="1:10" ht="27.6" x14ac:dyDescent="0.3">
      <c r="A158" s="7">
        <v>155</v>
      </c>
      <c r="B158" s="7" t="s">
        <v>616</v>
      </c>
      <c r="C158" s="10" t="s">
        <v>617</v>
      </c>
      <c r="D158" s="8" t="s">
        <v>595</v>
      </c>
      <c r="E158" s="8" t="s">
        <v>596</v>
      </c>
      <c r="F158" s="10" t="s">
        <v>597</v>
      </c>
      <c r="G158" s="10" t="s">
        <v>492</v>
      </c>
      <c r="H158" s="7" t="s">
        <v>489</v>
      </c>
      <c r="I158" s="10" t="s">
        <v>464</v>
      </c>
      <c r="J158" s="10" t="s">
        <v>490</v>
      </c>
    </row>
    <row r="159" spans="1:10" ht="27.6" x14ac:dyDescent="0.3">
      <c r="A159" s="7">
        <v>156</v>
      </c>
      <c r="B159" s="7" t="s">
        <v>616</v>
      </c>
      <c r="C159" s="10" t="s">
        <v>617</v>
      </c>
      <c r="D159" s="8" t="s">
        <v>595</v>
      </c>
      <c r="E159" s="8" t="s">
        <v>596</v>
      </c>
      <c r="F159" s="10" t="s">
        <v>597</v>
      </c>
      <c r="G159" s="10" t="s">
        <v>496</v>
      </c>
      <c r="H159" s="7" t="s">
        <v>494</v>
      </c>
      <c r="I159" s="10" t="s">
        <v>464</v>
      </c>
      <c r="J159" s="10" t="s">
        <v>490</v>
      </c>
    </row>
    <row r="160" spans="1:10" ht="27.6" x14ac:dyDescent="0.3">
      <c r="A160" s="7">
        <v>157</v>
      </c>
      <c r="B160" s="7" t="s">
        <v>616</v>
      </c>
      <c r="C160" s="10" t="s">
        <v>617</v>
      </c>
      <c r="D160" s="8" t="s">
        <v>595</v>
      </c>
      <c r="E160" s="8" t="s">
        <v>596</v>
      </c>
      <c r="F160" s="10" t="s">
        <v>597</v>
      </c>
      <c r="G160" s="10" t="s">
        <v>498</v>
      </c>
      <c r="H160" s="7" t="s">
        <v>497</v>
      </c>
      <c r="I160" s="10" t="s">
        <v>464</v>
      </c>
      <c r="J160" s="10" t="s">
        <v>490</v>
      </c>
    </row>
    <row r="161" spans="1:10" ht="27.6" x14ac:dyDescent="0.3">
      <c r="A161" s="7">
        <v>158</v>
      </c>
      <c r="B161" s="7" t="s">
        <v>616</v>
      </c>
      <c r="C161" s="10" t="s">
        <v>617</v>
      </c>
      <c r="D161" s="8" t="s">
        <v>595</v>
      </c>
      <c r="E161" s="8" t="s">
        <v>598</v>
      </c>
      <c r="F161" s="10" t="s">
        <v>599</v>
      </c>
      <c r="G161" s="10" t="s">
        <v>485</v>
      </c>
      <c r="H161" s="7" t="s">
        <v>483</v>
      </c>
      <c r="I161" s="10" t="s">
        <v>464</v>
      </c>
      <c r="J161" s="10" t="s">
        <v>481</v>
      </c>
    </row>
    <row r="162" spans="1:10" ht="27.6" x14ac:dyDescent="0.3">
      <c r="A162" s="7">
        <v>159</v>
      </c>
      <c r="B162" s="7" t="s">
        <v>616</v>
      </c>
      <c r="C162" s="10" t="s">
        <v>617</v>
      </c>
      <c r="D162" s="8" t="s">
        <v>595</v>
      </c>
      <c r="E162" s="8" t="s">
        <v>598</v>
      </c>
      <c r="F162" s="10" t="s">
        <v>599</v>
      </c>
      <c r="G162" s="10" t="s">
        <v>488</v>
      </c>
      <c r="H162" s="7" t="s">
        <v>486</v>
      </c>
      <c r="I162" s="10" t="s">
        <v>464</v>
      </c>
      <c r="J162" s="10" t="s">
        <v>481</v>
      </c>
    </row>
    <row r="163" spans="1:10" ht="27.6" x14ac:dyDescent="0.3">
      <c r="A163" s="7">
        <v>160</v>
      </c>
      <c r="B163" s="7" t="s">
        <v>616</v>
      </c>
      <c r="C163" s="10" t="s">
        <v>617</v>
      </c>
      <c r="D163" s="8" t="s">
        <v>595</v>
      </c>
      <c r="E163" s="8" t="s">
        <v>598</v>
      </c>
      <c r="F163" s="10" t="s">
        <v>600</v>
      </c>
      <c r="G163" s="10" t="s">
        <v>475</v>
      </c>
      <c r="H163" s="7" t="s">
        <v>473</v>
      </c>
      <c r="I163" s="10" t="s">
        <v>464</v>
      </c>
      <c r="J163" s="10" t="s">
        <v>465</v>
      </c>
    </row>
    <row r="164" spans="1:10" ht="27.6" x14ac:dyDescent="0.3">
      <c r="A164" s="7">
        <v>161</v>
      </c>
      <c r="B164" s="7" t="s">
        <v>616</v>
      </c>
      <c r="C164" s="10" t="s">
        <v>617</v>
      </c>
      <c r="D164" s="8" t="s">
        <v>595</v>
      </c>
      <c r="E164" s="8" t="s">
        <v>598</v>
      </c>
      <c r="F164" s="10" t="s">
        <v>600</v>
      </c>
      <c r="G164" s="10" t="s">
        <v>479</v>
      </c>
      <c r="H164" s="7" t="s">
        <v>477</v>
      </c>
      <c r="I164" s="10" t="s">
        <v>464</v>
      </c>
      <c r="J164" s="10" t="s">
        <v>465</v>
      </c>
    </row>
    <row r="165" spans="1:10" ht="27.6" x14ac:dyDescent="0.3">
      <c r="A165" s="7">
        <v>162</v>
      </c>
      <c r="B165" s="7" t="s">
        <v>616</v>
      </c>
      <c r="C165" s="10" t="s">
        <v>617</v>
      </c>
      <c r="D165" s="8" t="s">
        <v>601</v>
      </c>
      <c r="E165" s="8" t="s">
        <v>602</v>
      </c>
      <c r="F165" s="10" t="s">
        <v>603</v>
      </c>
      <c r="G165" s="10" t="s">
        <v>382</v>
      </c>
      <c r="H165" s="7" t="s">
        <v>379</v>
      </c>
      <c r="I165" s="10" t="s">
        <v>337</v>
      </c>
      <c r="J165" s="10" t="s">
        <v>380</v>
      </c>
    </row>
    <row r="166" spans="1:10" ht="27.6" x14ac:dyDescent="0.3">
      <c r="A166" s="7">
        <v>163</v>
      </c>
      <c r="B166" s="7" t="s">
        <v>616</v>
      </c>
      <c r="C166" s="10" t="s">
        <v>617</v>
      </c>
      <c r="D166" s="8" t="s">
        <v>601</v>
      </c>
      <c r="E166" s="8" t="s">
        <v>602</v>
      </c>
      <c r="F166" s="10" t="s">
        <v>603</v>
      </c>
      <c r="G166" s="10" t="s">
        <v>388</v>
      </c>
      <c r="H166" s="7" t="s">
        <v>386</v>
      </c>
      <c r="I166" s="10" t="s">
        <v>337</v>
      </c>
      <c r="J166" s="10" t="s">
        <v>380</v>
      </c>
    </row>
    <row r="167" spans="1:10" ht="27.6" x14ac:dyDescent="0.3">
      <c r="A167" s="7">
        <v>164</v>
      </c>
      <c r="B167" s="7" t="s">
        <v>616</v>
      </c>
      <c r="C167" s="10" t="s">
        <v>617</v>
      </c>
      <c r="D167" s="8" t="s">
        <v>601</v>
      </c>
      <c r="E167" s="8" t="s">
        <v>602</v>
      </c>
      <c r="F167" s="10" t="s">
        <v>603</v>
      </c>
      <c r="G167" s="10" t="s">
        <v>391</v>
      </c>
      <c r="H167" s="7" t="s">
        <v>389</v>
      </c>
      <c r="I167" s="10" t="s">
        <v>337</v>
      </c>
      <c r="J167" s="10" t="s">
        <v>380</v>
      </c>
    </row>
    <row r="168" spans="1:10" ht="27.6" x14ac:dyDescent="0.3">
      <c r="A168" s="7">
        <v>165</v>
      </c>
      <c r="B168" s="7" t="s">
        <v>616</v>
      </c>
      <c r="C168" s="10" t="s">
        <v>617</v>
      </c>
      <c r="D168" s="8" t="s">
        <v>601</v>
      </c>
      <c r="E168" s="8" t="s">
        <v>602</v>
      </c>
      <c r="F168" s="10" t="s">
        <v>604</v>
      </c>
      <c r="G168" s="10" t="s">
        <v>394</v>
      </c>
      <c r="H168" s="7" t="s">
        <v>392</v>
      </c>
      <c r="I168" s="10" t="s">
        <v>337</v>
      </c>
      <c r="J168" s="10" t="s">
        <v>380</v>
      </c>
    </row>
    <row r="169" spans="1:10" ht="27.6" x14ac:dyDescent="0.3">
      <c r="A169" s="7">
        <v>166</v>
      </c>
      <c r="B169" s="7" t="s">
        <v>616</v>
      </c>
      <c r="C169" s="10" t="s">
        <v>617</v>
      </c>
      <c r="D169" s="8" t="s">
        <v>601</v>
      </c>
      <c r="E169" s="8" t="s">
        <v>602</v>
      </c>
      <c r="F169" s="10" t="s">
        <v>604</v>
      </c>
      <c r="G169" s="10" t="s">
        <v>397</v>
      </c>
      <c r="H169" s="7" t="s">
        <v>395</v>
      </c>
      <c r="I169" s="10" t="s">
        <v>337</v>
      </c>
      <c r="J169" s="10" t="s">
        <v>380</v>
      </c>
    </row>
    <row r="170" spans="1:10" ht="27.6" x14ac:dyDescent="0.3">
      <c r="A170" s="7">
        <v>167</v>
      </c>
      <c r="B170" s="7" t="s">
        <v>616</v>
      </c>
      <c r="C170" s="10" t="s">
        <v>617</v>
      </c>
      <c r="D170" s="8" t="s">
        <v>601</v>
      </c>
      <c r="E170" s="8" t="s">
        <v>605</v>
      </c>
      <c r="F170" s="10" t="s">
        <v>606</v>
      </c>
      <c r="G170" s="10" t="s">
        <v>510</v>
      </c>
      <c r="H170" s="7" t="s">
        <v>507</v>
      </c>
      <c r="I170" s="10" t="s">
        <v>500</v>
      </c>
      <c r="J170" s="10" t="s">
        <v>508</v>
      </c>
    </row>
    <row r="171" spans="1:10" ht="27.6" x14ac:dyDescent="0.3">
      <c r="A171" s="7">
        <v>168</v>
      </c>
      <c r="B171" s="7" t="s">
        <v>616</v>
      </c>
      <c r="C171" s="10" t="s">
        <v>617</v>
      </c>
      <c r="D171" s="8" t="s">
        <v>601</v>
      </c>
      <c r="E171" s="8" t="s">
        <v>605</v>
      </c>
      <c r="F171" s="10" t="s">
        <v>606</v>
      </c>
      <c r="G171" s="10" t="s">
        <v>514</v>
      </c>
      <c r="H171" s="7" t="s">
        <v>512</v>
      </c>
      <c r="I171" s="10" t="s">
        <v>500</v>
      </c>
      <c r="J171" s="10" t="s">
        <v>508</v>
      </c>
    </row>
    <row r="172" spans="1:10" ht="27.6" x14ac:dyDescent="0.3">
      <c r="A172" s="7">
        <v>169</v>
      </c>
      <c r="B172" s="7" t="s">
        <v>616</v>
      </c>
      <c r="C172" s="10" t="s">
        <v>617</v>
      </c>
      <c r="D172" s="8" t="s">
        <v>601</v>
      </c>
      <c r="E172" s="8" t="s">
        <v>605</v>
      </c>
      <c r="F172" s="10" t="s">
        <v>606</v>
      </c>
      <c r="G172" s="10" t="s">
        <v>517</v>
      </c>
      <c r="H172" s="7" t="s">
        <v>515</v>
      </c>
      <c r="I172" s="10" t="s">
        <v>500</v>
      </c>
      <c r="J172" s="10" t="s">
        <v>508</v>
      </c>
    </row>
    <row r="173" spans="1:10" ht="27.6" x14ac:dyDescent="0.3">
      <c r="A173" s="7">
        <v>170</v>
      </c>
      <c r="B173" s="7" t="s">
        <v>616</v>
      </c>
      <c r="C173" s="10" t="s">
        <v>617</v>
      </c>
      <c r="D173" s="8" t="s">
        <v>607</v>
      </c>
      <c r="E173" s="8" t="s">
        <v>608</v>
      </c>
      <c r="F173" s="10" t="s">
        <v>609</v>
      </c>
      <c r="G173" s="10" t="s">
        <v>521</v>
      </c>
      <c r="H173" s="7" t="s">
        <v>518</v>
      </c>
      <c r="I173" s="10" t="s">
        <v>500</v>
      </c>
      <c r="J173" s="10" t="s">
        <v>519</v>
      </c>
    </row>
    <row r="174" spans="1:10" ht="27.6" x14ac:dyDescent="0.3">
      <c r="A174" s="7">
        <v>171</v>
      </c>
      <c r="B174" s="7" t="s">
        <v>616</v>
      </c>
      <c r="C174" s="10" t="s">
        <v>617</v>
      </c>
      <c r="D174" s="8" t="s">
        <v>607</v>
      </c>
      <c r="E174" s="8" t="s">
        <v>608</v>
      </c>
      <c r="F174" s="10" t="s">
        <v>610</v>
      </c>
      <c r="G174" s="10" t="s">
        <v>525</v>
      </c>
      <c r="H174" s="7" t="s">
        <v>523</v>
      </c>
      <c r="I174" s="10" t="s">
        <v>500</v>
      </c>
      <c r="J174" s="10" t="s">
        <v>519</v>
      </c>
    </row>
    <row r="175" spans="1:10" ht="27.6" x14ac:dyDescent="0.3">
      <c r="A175" s="7">
        <v>172</v>
      </c>
      <c r="B175" s="7" t="s">
        <v>616</v>
      </c>
      <c r="C175" s="10" t="s">
        <v>617</v>
      </c>
      <c r="D175" s="8" t="s">
        <v>607</v>
      </c>
      <c r="E175" s="8" t="s">
        <v>611</v>
      </c>
      <c r="F175" s="10" t="s">
        <v>612</v>
      </c>
      <c r="G175" s="10" t="s">
        <v>530</v>
      </c>
      <c r="H175" s="7" t="s">
        <v>526</v>
      </c>
      <c r="I175" s="10" t="s">
        <v>527</v>
      </c>
      <c r="J175" s="10" t="s">
        <v>528</v>
      </c>
    </row>
    <row r="176" spans="1:10" ht="27.6" x14ac:dyDescent="0.3">
      <c r="A176" s="7">
        <v>173</v>
      </c>
      <c r="B176" s="7" t="s">
        <v>616</v>
      </c>
      <c r="C176" s="10" t="s">
        <v>617</v>
      </c>
      <c r="D176" s="8" t="s">
        <v>607</v>
      </c>
      <c r="E176" s="8" t="s">
        <v>611</v>
      </c>
      <c r="F176" s="10" t="s">
        <v>612</v>
      </c>
      <c r="G176" s="10" t="s">
        <v>534</v>
      </c>
      <c r="H176" s="7" t="s">
        <v>532</v>
      </c>
      <c r="I176" s="10" t="s">
        <v>527</v>
      </c>
      <c r="J176" s="10" t="s">
        <v>528</v>
      </c>
    </row>
    <row r="177" spans="1:10" ht="27.6" x14ac:dyDescent="0.3">
      <c r="A177" s="7">
        <v>174</v>
      </c>
      <c r="B177" s="7" t="s">
        <v>616</v>
      </c>
      <c r="C177" s="10" t="s">
        <v>617</v>
      </c>
      <c r="D177" s="8" t="s">
        <v>607</v>
      </c>
      <c r="E177" s="8" t="s">
        <v>611</v>
      </c>
      <c r="F177" s="10" t="s">
        <v>613</v>
      </c>
      <c r="G177" s="10" t="s">
        <v>538</v>
      </c>
      <c r="H177" s="7" t="s">
        <v>535</v>
      </c>
      <c r="I177" s="10" t="s">
        <v>527</v>
      </c>
      <c r="J177" s="10" t="s">
        <v>536</v>
      </c>
    </row>
    <row r="178" spans="1:10" ht="27.6" x14ac:dyDescent="0.3">
      <c r="A178" s="7">
        <v>175</v>
      </c>
      <c r="B178" s="7" t="s">
        <v>616</v>
      </c>
      <c r="C178" s="10" t="s">
        <v>617</v>
      </c>
      <c r="D178" s="8" t="s">
        <v>607</v>
      </c>
      <c r="E178" s="8" t="s">
        <v>611</v>
      </c>
      <c r="F178" s="10" t="s">
        <v>613</v>
      </c>
      <c r="G178" s="10" t="s">
        <v>541</v>
      </c>
      <c r="H178" s="7" t="s">
        <v>539</v>
      </c>
      <c r="I178" s="10" t="s">
        <v>527</v>
      </c>
      <c r="J178" s="10" t="s">
        <v>536</v>
      </c>
    </row>
    <row r="179" spans="1:10" x14ac:dyDescent="0.3">
      <c r="A179" s="7">
        <v>176</v>
      </c>
      <c r="B179" s="7" t="s">
        <v>619</v>
      </c>
      <c r="C179" s="10" t="s">
        <v>620</v>
      </c>
      <c r="D179" s="8" t="s">
        <v>564</v>
      </c>
      <c r="E179" s="8"/>
      <c r="F179" s="10" t="s">
        <v>621</v>
      </c>
      <c r="G179" s="10" t="s">
        <v>115</v>
      </c>
      <c r="H179" s="7" t="s">
        <v>111</v>
      </c>
      <c r="I179" s="10" t="s">
        <v>112</v>
      </c>
      <c r="J179" s="10" t="s">
        <v>113</v>
      </c>
    </row>
    <row r="180" spans="1:10" x14ac:dyDescent="0.3">
      <c r="A180" s="7">
        <v>177</v>
      </c>
      <c r="B180" s="7" t="s">
        <v>619</v>
      </c>
      <c r="C180" s="10" t="s">
        <v>620</v>
      </c>
      <c r="D180" s="8" t="s">
        <v>564</v>
      </c>
      <c r="E180" s="8"/>
      <c r="F180" s="10" t="s">
        <v>621</v>
      </c>
      <c r="G180" s="10" t="s">
        <v>123</v>
      </c>
      <c r="H180" s="7" t="s">
        <v>122</v>
      </c>
      <c r="I180" s="10" t="s">
        <v>112</v>
      </c>
      <c r="J180" s="10" t="s">
        <v>113</v>
      </c>
    </row>
    <row r="181" spans="1:10" x14ac:dyDescent="0.3">
      <c r="A181" s="7">
        <v>178</v>
      </c>
      <c r="B181" s="7" t="s">
        <v>619</v>
      </c>
      <c r="C181" s="10" t="s">
        <v>620</v>
      </c>
      <c r="D181" s="8" t="s">
        <v>564</v>
      </c>
      <c r="E181" s="8"/>
      <c r="F181" s="10" t="s">
        <v>621</v>
      </c>
      <c r="G181" s="10" t="s">
        <v>126</v>
      </c>
      <c r="H181" s="7" t="s">
        <v>124</v>
      </c>
      <c r="I181" s="10" t="s">
        <v>112</v>
      </c>
      <c r="J181" s="10" t="s">
        <v>113</v>
      </c>
    </row>
    <row r="182" spans="1:10" x14ac:dyDescent="0.3">
      <c r="A182" s="7">
        <v>179</v>
      </c>
      <c r="B182" s="7" t="s">
        <v>619</v>
      </c>
      <c r="C182" s="10" t="s">
        <v>620</v>
      </c>
      <c r="D182" s="8" t="s">
        <v>564</v>
      </c>
      <c r="E182" s="8"/>
      <c r="F182" s="10" t="s">
        <v>621</v>
      </c>
      <c r="G182" s="10" t="s">
        <v>138</v>
      </c>
      <c r="H182" s="7" t="s">
        <v>135</v>
      </c>
      <c r="I182" s="10" t="s">
        <v>112</v>
      </c>
      <c r="J182" s="10" t="s">
        <v>136</v>
      </c>
    </row>
    <row r="183" spans="1:10" x14ac:dyDescent="0.3">
      <c r="A183" s="7">
        <v>180</v>
      </c>
      <c r="B183" s="7" t="s">
        <v>619</v>
      </c>
      <c r="C183" s="10" t="s">
        <v>620</v>
      </c>
      <c r="D183" s="8" t="s">
        <v>564</v>
      </c>
      <c r="E183" s="8"/>
      <c r="F183" s="10" t="s">
        <v>621</v>
      </c>
      <c r="G183" s="10" t="s">
        <v>143</v>
      </c>
      <c r="H183" s="7" t="s">
        <v>141</v>
      </c>
      <c r="I183" s="10" t="s">
        <v>112</v>
      </c>
      <c r="J183" s="10" t="s">
        <v>136</v>
      </c>
    </row>
    <row r="184" spans="1:10" x14ac:dyDescent="0.3">
      <c r="A184" s="7">
        <v>181</v>
      </c>
      <c r="B184" s="7" t="s">
        <v>619</v>
      </c>
      <c r="C184" s="10" t="s">
        <v>620</v>
      </c>
      <c r="D184" s="8" t="s">
        <v>564</v>
      </c>
      <c r="E184" s="8"/>
      <c r="F184" s="10" t="s">
        <v>621</v>
      </c>
      <c r="G184" s="10" t="s">
        <v>129</v>
      </c>
      <c r="H184" s="7" t="s">
        <v>127</v>
      </c>
      <c r="I184" s="10" t="s">
        <v>112</v>
      </c>
      <c r="J184" s="10" t="s">
        <v>113</v>
      </c>
    </row>
    <row r="185" spans="1:10" x14ac:dyDescent="0.3">
      <c r="A185" s="7">
        <v>182</v>
      </c>
      <c r="B185" s="7" t="s">
        <v>619</v>
      </c>
      <c r="C185" s="10" t="s">
        <v>620</v>
      </c>
      <c r="D185" s="8" t="s">
        <v>564</v>
      </c>
      <c r="E185" s="8"/>
      <c r="F185" s="10" t="s">
        <v>621</v>
      </c>
      <c r="G185" s="10" t="s">
        <v>131</v>
      </c>
      <c r="H185" s="7" t="s">
        <v>130</v>
      </c>
      <c r="I185" s="10" t="s">
        <v>112</v>
      </c>
      <c r="J185" s="10" t="s">
        <v>113</v>
      </c>
    </row>
    <row r="186" spans="1:10" x14ac:dyDescent="0.3">
      <c r="A186" s="7">
        <v>183</v>
      </c>
      <c r="B186" s="7" t="s">
        <v>619</v>
      </c>
      <c r="C186" s="10" t="s">
        <v>620</v>
      </c>
      <c r="D186" s="8" t="s">
        <v>564</v>
      </c>
      <c r="E186" s="8"/>
      <c r="F186" s="10" t="s">
        <v>621</v>
      </c>
      <c r="G186" s="10" t="s">
        <v>134</v>
      </c>
      <c r="H186" s="7" t="s">
        <v>132</v>
      </c>
      <c r="I186" s="10" t="s">
        <v>112</v>
      </c>
      <c r="J186" s="10" t="s">
        <v>113</v>
      </c>
    </row>
    <row r="187" spans="1:10" x14ac:dyDescent="0.3">
      <c r="A187" s="7">
        <v>184</v>
      </c>
      <c r="B187" s="7" t="s">
        <v>619</v>
      </c>
      <c r="C187" s="10" t="s">
        <v>620</v>
      </c>
      <c r="D187" s="8" t="s">
        <v>564</v>
      </c>
      <c r="E187" s="8"/>
      <c r="F187" s="10" t="s">
        <v>621</v>
      </c>
      <c r="G187" s="10" t="s">
        <v>146</v>
      </c>
      <c r="H187" s="7" t="s">
        <v>144</v>
      </c>
      <c r="I187" s="10" t="s">
        <v>112</v>
      </c>
      <c r="J187" s="10" t="s">
        <v>136</v>
      </c>
    </row>
    <row r="188" spans="1:10" x14ac:dyDescent="0.3">
      <c r="A188" s="7">
        <v>185</v>
      </c>
      <c r="B188" s="7" t="s">
        <v>619</v>
      </c>
      <c r="C188" s="10" t="s">
        <v>620</v>
      </c>
      <c r="D188" s="8" t="s">
        <v>564</v>
      </c>
      <c r="E188" s="8"/>
      <c r="F188" s="10" t="s">
        <v>621</v>
      </c>
      <c r="G188" s="10" t="s">
        <v>149</v>
      </c>
      <c r="H188" s="7" t="s">
        <v>147</v>
      </c>
      <c r="I188" s="10" t="s">
        <v>112</v>
      </c>
      <c r="J188" s="10" t="s">
        <v>136</v>
      </c>
    </row>
    <row r="189" spans="1:10" x14ac:dyDescent="0.3">
      <c r="A189" s="7">
        <v>186</v>
      </c>
      <c r="B189" s="7" t="s">
        <v>619</v>
      </c>
      <c r="C189" s="10" t="s">
        <v>620</v>
      </c>
      <c r="D189" s="8" t="s">
        <v>564</v>
      </c>
      <c r="E189" s="8"/>
      <c r="F189" s="10" t="s">
        <v>621</v>
      </c>
      <c r="G189" s="10" t="s">
        <v>152</v>
      </c>
      <c r="H189" s="7" t="s">
        <v>150</v>
      </c>
      <c r="I189" s="10" t="s">
        <v>112</v>
      </c>
      <c r="J189" s="10" t="s">
        <v>136</v>
      </c>
    </row>
    <row r="190" spans="1:10" x14ac:dyDescent="0.3">
      <c r="A190" s="7">
        <v>187</v>
      </c>
      <c r="B190" s="7" t="s">
        <v>619</v>
      </c>
      <c r="C190" s="10" t="s">
        <v>620</v>
      </c>
      <c r="D190" s="8" t="s">
        <v>564</v>
      </c>
      <c r="E190" s="8"/>
      <c r="F190" s="10" t="s">
        <v>621</v>
      </c>
      <c r="G190" s="10" t="s">
        <v>155</v>
      </c>
      <c r="H190" s="7" t="s">
        <v>153</v>
      </c>
      <c r="I190" s="10" t="s">
        <v>112</v>
      </c>
      <c r="J190" s="10" t="s">
        <v>136</v>
      </c>
    </row>
    <row r="191" spans="1:10" x14ac:dyDescent="0.3">
      <c r="A191" s="7">
        <v>188</v>
      </c>
      <c r="B191" s="7" t="s">
        <v>619</v>
      </c>
      <c r="C191" s="10" t="s">
        <v>620</v>
      </c>
      <c r="D191" s="8" t="s">
        <v>564</v>
      </c>
      <c r="E191" s="8"/>
      <c r="F191" s="10" t="s">
        <v>621</v>
      </c>
      <c r="G191" s="10" t="s">
        <v>163</v>
      </c>
      <c r="H191" s="7" t="s">
        <v>160</v>
      </c>
      <c r="I191" s="10" t="s">
        <v>112</v>
      </c>
      <c r="J191" s="10" t="s">
        <v>161</v>
      </c>
    </row>
    <row r="192" spans="1:10" x14ac:dyDescent="0.3">
      <c r="A192" s="7">
        <v>189</v>
      </c>
      <c r="B192" s="7" t="s">
        <v>619</v>
      </c>
      <c r="C192" s="10" t="s">
        <v>620</v>
      </c>
      <c r="D192" s="8" t="s">
        <v>564</v>
      </c>
      <c r="E192" s="8"/>
      <c r="F192" s="10" t="s">
        <v>621</v>
      </c>
      <c r="G192" s="10" t="s">
        <v>166</v>
      </c>
      <c r="H192" s="7" t="s">
        <v>164</v>
      </c>
      <c r="I192" s="10" t="s">
        <v>112</v>
      </c>
      <c r="J192" s="10" t="s">
        <v>161</v>
      </c>
    </row>
    <row r="193" spans="1:10" ht="27.6" x14ac:dyDescent="0.3">
      <c r="A193" s="7">
        <v>190</v>
      </c>
      <c r="B193" s="7" t="s">
        <v>619</v>
      </c>
      <c r="C193" s="10" t="s">
        <v>620</v>
      </c>
      <c r="D193" s="8" t="s">
        <v>567</v>
      </c>
      <c r="E193" s="8"/>
      <c r="F193" s="10" t="s">
        <v>622</v>
      </c>
      <c r="G193" s="10" t="s">
        <v>170</v>
      </c>
      <c r="H193" s="7" t="s">
        <v>167</v>
      </c>
      <c r="I193" s="10" t="s">
        <v>112</v>
      </c>
      <c r="J193" s="10" t="s">
        <v>168</v>
      </c>
    </row>
    <row r="194" spans="1:10" ht="27.6" x14ac:dyDescent="0.3">
      <c r="A194" s="7">
        <v>191</v>
      </c>
      <c r="B194" s="7" t="s">
        <v>619</v>
      </c>
      <c r="C194" s="10" t="s">
        <v>620</v>
      </c>
      <c r="D194" s="8" t="s">
        <v>567</v>
      </c>
      <c r="E194" s="8"/>
      <c r="F194" s="10" t="s">
        <v>622</v>
      </c>
      <c r="G194" s="10" t="s">
        <v>173</v>
      </c>
      <c r="H194" s="7" t="s">
        <v>171</v>
      </c>
      <c r="I194" s="10" t="s">
        <v>112</v>
      </c>
      <c r="J194" s="10" t="s">
        <v>168</v>
      </c>
    </row>
    <row r="195" spans="1:10" ht="27.6" x14ac:dyDescent="0.3">
      <c r="A195" s="7">
        <v>192</v>
      </c>
      <c r="B195" s="7" t="s">
        <v>619</v>
      </c>
      <c r="C195" s="10" t="s">
        <v>620</v>
      </c>
      <c r="D195" s="8" t="s">
        <v>567</v>
      </c>
      <c r="E195" s="8"/>
      <c r="F195" s="10" t="s">
        <v>622</v>
      </c>
      <c r="G195" s="10" t="s">
        <v>176</v>
      </c>
      <c r="H195" s="7" t="s">
        <v>174</v>
      </c>
      <c r="I195" s="10" t="s">
        <v>112</v>
      </c>
      <c r="J195" s="10" t="s">
        <v>168</v>
      </c>
    </row>
    <row r="196" spans="1:10" ht="27.6" x14ac:dyDescent="0.3">
      <c r="A196" s="7">
        <v>193</v>
      </c>
      <c r="B196" s="7" t="s">
        <v>619</v>
      </c>
      <c r="C196" s="10" t="s">
        <v>620</v>
      </c>
      <c r="D196" s="8" t="s">
        <v>567</v>
      </c>
      <c r="E196" s="8"/>
      <c r="F196" s="10" t="s">
        <v>622</v>
      </c>
      <c r="G196" s="10" t="s">
        <v>179</v>
      </c>
      <c r="H196" s="7" t="s">
        <v>177</v>
      </c>
      <c r="I196" s="10" t="s">
        <v>112</v>
      </c>
      <c r="J196" s="10" t="s">
        <v>168</v>
      </c>
    </row>
    <row r="197" spans="1:10" ht="27.6" x14ac:dyDescent="0.3">
      <c r="A197" s="7">
        <v>194</v>
      </c>
      <c r="B197" s="7" t="s">
        <v>619</v>
      </c>
      <c r="C197" s="10" t="s">
        <v>620</v>
      </c>
      <c r="D197" s="8" t="s">
        <v>567</v>
      </c>
      <c r="E197" s="8"/>
      <c r="F197" s="10" t="s">
        <v>622</v>
      </c>
      <c r="G197" s="10" t="s">
        <v>183</v>
      </c>
      <c r="H197" s="7" t="s">
        <v>181</v>
      </c>
      <c r="I197" s="10" t="s">
        <v>112</v>
      </c>
      <c r="J197" s="10" t="s">
        <v>168</v>
      </c>
    </row>
    <row r="198" spans="1:10" ht="27.6" x14ac:dyDescent="0.3">
      <c r="A198" s="7">
        <v>195</v>
      </c>
      <c r="B198" s="7" t="s">
        <v>619</v>
      </c>
      <c r="C198" s="10" t="s">
        <v>620</v>
      </c>
      <c r="D198" s="8" t="s">
        <v>567</v>
      </c>
      <c r="E198" s="8"/>
      <c r="F198" s="10" t="s">
        <v>622</v>
      </c>
      <c r="G198" s="10" t="s">
        <v>186</v>
      </c>
      <c r="H198" s="7" t="s">
        <v>184</v>
      </c>
      <c r="I198" s="10" t="s">
        <v>112</v>
      </c>
      <c r="J198" s="10" t="s">
        <v>168</v>
      </c>
    </row>
    <row r="199" spans="1:10" ht="27.6" x14ac:dyDescent="0.3">
      <c r="A199" s="7">
        <v>196</v>
      </c>
      <c r="B199" s="7" t="s">
        <v>619</v>
      </c>
      <c r="C199" s="10" t="s">
        <v>620</v>
      </c>
      <c r="D199" s="8" t="s">
        <v>567</v>
      </c>
      <c r="E199" s="8"/>
      <c r="F199" s="10" t="s">
        <v>622</v>
      </c>
      <c r="G199" s="10" t="s">
        <v>158</v>
      </c>
      <c r="H199" s="7" t="s">
        <v>156</v>
      </c>
      <c r="I199" s="10" t="s">
        <v>112</v>
      </c>
      <c r="J199" s="10" t="s">
        <v>136</v>
      </c>
    </row>
    <row r="200" spans="1:10" ht="27.6" x14ac:dyDescent="0.3">
      <c r="A200" s="7">
        <v>197</v>
      </c>
      <c r="B200" s="7" t="s">
        <v>619</v>
      </c>
      <c r="C200" s="10" t="s">
        <v>620</v>
      </c>
      <c r="D200" s="8" t="s">
        <v>567</v>
      </c>
      <c r="E200" s="8"/>
      <c r="F200" s="10" t="s">
        <v>622</v>
      </c>
      <c r="G200" s="10" t="s">
        <v>189</v>
      </c>
      <c r="H200" s="7" t="s">
        <v>187</v>
      </c>
      <c r="I200" s="10" t="s">
        <v>112</v>
      </c>
      <c r="J200" s="10" t="s">
        <v>168</v>
      </c>
    </row>
    <row r="201" spans="1:10" ht="27.6" x14ac:dyDescent="0.3">
      <c r="A201" s="7">
        <v>198</v>
      </c>
      <c r="B201" s="7" t="s">
        <v>619</v>
      </c>
      <c r="C201" s="10" t="s">
        <v>620</v>
      </c>
      <c r="D201" s="8" t="s">
        <v>567</v>
      </c>
      <c r="E201" s="8"/>
      <c r="F201" s="10" t="s">
        <v>622</v>
      </c>
      <c r="G201" s="10" t="s">
        <v>192</v>
      </c>
      <c r="H201" s="7" t="s">
        <v>190</v>
      </c>
      <c r="I201" s="10" t="s">
        <v>112</v>
      </c>
      <c r="J201" s="10" t="s">
        <v>168</v>
      </c>
    </row>
    <row r="202" spans="1:10" ht="27.6" x14ac:dyDescent="0.3">
      <c r="A202" s="7">
        <v>199</v>
      </c>
      <c r="B202" s="7" t="s">
        <v>619</v>
      </c>
      <c r="C202" s="10" t="s">
        <v>620</v>
      </c>
      <c r="D202" s="8" t="s">
        <v>567</v>
      </c>
      <c r="E202" s="8"/>
      <c r="F202" s="10" t="s">
        <v>622</v>
      </c>
      <c r="G202" s="10" t="s">
        <v>195</v>
      </c>
      <c r="H202" s="7" t="s">
        <v>193</v>
      </c>
      <c r="I202" s="10" t="s">
        <v>112</v>
      </c>
      <c r="J202" s="10" t="s">
        <v>168</v>
      </c>
    </row>
    <row r="203" spans="1:10" ht="27.6" x14ac:dyDescent="0.3">
      <c r="A203" s="7">
        <v>200</v>
      </c>
      <c r="B203" s="7" t="s">
        <v>619</v>
      </c>
      <c r="C203" s="10" t="s">
        <v>620</v>
      </c>
      <c r="D203" s="8" t="s">
        <v>571</v>
      </c>
      <c r="E203" s="8"/>
      <c r="F203" s="10" t="s">
        <v>565</v>
      </c>
      <c r="G203" s="10" t="s">
        <v>201</v>
      </c>
      <c r="H203" s="7" t="s">
        <v>197</v>
      </c>
      <c r="I203" s="10" t="s">
        <v>198</v>
      </c>
      <c r="J203" s="10" t="s">
        <v>199</v>
      </c>
    </row>
    <row r="204" spans="1:10" ht="27.6" x14ac:dyDescent="0.3">
      <c r="A204" s="7">
        <v>201</v>
      </c>
      <c r="B204" s="7" t="s">
        <v>619</v>
      </c>
      <c r="C204" s="10" t="s">
        <v>620</v>
      </c>
      <c r="D204" s="8" t="s">
        <v>571</v>
      </c>
      <c r="E204" s="8"/>
      <c r="F204" s="10" t="s">
        <v>565</v>
      </c>
      <c r="G204" s="10" t="s">
        <v>205</v>
      </c>
      <c r="H204" s="7" t="s">
        <v>203</v>
      </c>
      <c r="I204" s="10" t="s">
        <v>198</v>
      </c>
      <c r="J204" s="10" t="s">
        <v>199</v>
      </c>
    </row>
    <row r="205" spans="1:10" ht="27.6" x14ac:dyDescent="0.3">
      <c r="A205" s="7">
        <v>202</v>
      </c>
      <c r="B205" s="7" t="s">
        <v>619</v>
      </c>
      <c r="C205" s="10" t="s">
        <v>620</v>
      </c>
      <c r="D205" s="8" t="s">
        <v>571</v>
      </c>
      <c r="E205" s="8"/>
      <c r="F205" s="10" t="s">
        <v>565</v>
      </c>
      <c r="G205" s="10" t="s">
        <v>208</v>
      </c>
      <c r="H205" s="7" t="s">
        <v>206</v>
      </c>
      <c r="I205" s="10" t="s">
        <v>198</v>
      </c>
      <c r="J205" s="10" t="s">
        <v>199</v>
      </c>
    </row>
    <row r="206" spans="1:10" ht="27.6" x14ac:dyDescent="0.3">
      <c r="A206" s="7">
        <v>203</v>
      </c>
      <c r="B206" s="7" t="s">
        <v>619</v>
      </c>
      <c r="C206" s="10" t="s">
        <v>620</v>
      </c>
      <c r="D206" s="8" t="s">
        <v>571</v>
      </c>
      <c r="E206" s="8"/>
      <c r="F206" s="10" t="s">
        <v>565</v>
      </c>
      <c r="G206" s="10" t="s">
        <v>211</v>
      </c>
      <c r="H206" s="7" t="s">
        <v>209</v>
      </c>
      <c r="I206" s="10" t="s">
        <v>198</v>
      </c>
      <c r="J206" s="10" t="s">
        <v>199</v>
      </c>
    </row>
    <row r="207" spans="1:10" ht="27.6" x14ac:dyDescent="0.3">
      <c r="A207" s="7">
        <v>204</v>
      </c>
      <c r="B207" s="7" t="s">
        <v>619</v>
      </c>
      <c r="C207" s="10" t="s">
        <v>620</v>
      </c>
      <c r="D207" s="8" t="s">
        <v>571</v>
      </c>
      <c r="E207" s="8"/>
      <c r="F207" s="10" t="s">
        <v>566</v>
      </c>
      <c r="G207" s="10" t="s">
        <v>340</v>
      </c>
      <c r="H207" s="7" t="s">
        <v>336</v>
      </c>
      <c r="I207" s="10" t="s">
        <v>337</v>
      </c>
      <c r="J207" s="10" t="s">
        <v>338</v>
      </c>
    </row>
    <row r="208" spans="1:10" ht="27.6" x14ac:dyDescent="0.3">
      <c r="A208" s="7">
        <v>205</v>
      </c>
      <c r="B208" s="7" t="s">
        <v>619</v>
      </c>
      <c r="C208" s="10" t="s">
        <v>620</v>
      </c>
      <c r="D208" s="8" t="s">
        <v>571</v>
      </c>
      <c r="E208" s="8"/>
      <c r="F208" s="10" t="s">
        <v>566</v>
      </c>
      <c r="G208" s="10" t="s">
        <v>343</v>
      </c>
      <c r="H208" s="7" t="s">
        <v>341</v>
      </c>
      <c r="I208" s="10" t="s">
        <v>337</v>
      </c>
      <c r="J208" s="10" t="s">
        <v>338</v>
      </c>
    </row>
    <row r="209" spans="1:10" ht="27.6" x14ac:dyDescent="0.3">
      <c r="A209" s="7">
        <v>206</v>
      </c>
      <c r="B209" s="7" t="s">
        <v>619</v>
      </c>
      <c r="C209" s="10" t="s">
        <v>620</v>
      </c>
      <c r="D209" s="8" t="s">
        <v>571</v>
      </c>
      <c r="E209" s="8"/>
      <c r="F209" s="10" t="s">
        <v>566</v>
      </c>
      <c r="G209" s="10" t="s">
        <v>346</v>
      </c>
      <c r="H209" s="7" t="s">
        <v>344</v>
      </c>
      <c r="I209" s="10" t="s">
        <v>337</v>
      </c>
      <c r="J209" s="10" t="s">
        <v>338</v>
      </c>
    </row>
    <row r="210" spans="1:10" x14ac:dyDescent="0.3">
      <c r="A210" s="7">
        <v>207</v>
      </c>
      <c r="B210" s="7" t="s">
        <v>619</v>
      </c>
      <c r="C210" s="10" t="s">
        <v>620</v>
      </c>
      <c r="D210" s="8" t="s">
        <v>571</v>
      </c>
      <c r="E210" s="8"/>
      <c r="F210" s="10" t="s">
        <v>348</v>
      </c>
      <c r="G210" s="10" t="s">
        <v>350</v>
      </c>
      <c r="H210" s="7" t="s">
        <v>347</v>
      </c>
      <c r="I210" s="10" t="s">
        <v>337</v>
      </c>
      <c r="J210" s="10" t="s">
        <v>348</v>
      </c>
    </row>
    <row r="211" spans="1:10" x14ac:dyDescent="0.3">
      <c r="A211" s="7">
        <v>208</v>
      </c>
      <c r="B211" s="7" t="s">
        <v>619</v>
      </c>
      <c r="C211" s="10" t="s">
        <v>620</v>
      </c>
      <c r="D211" s="8" t="s">
        <v>571</v>
      </c>
      <c r="E211" s="8"/>
      <c r="F211" s="10" t="s">
        <v>348</v>
      </c>
      <c r="G211" s="10" t="s">
        <v>354</v>
      </c>
      <c r="H211" s="7" t="s">
        <v>352</v>
      </c>
      <c r="I211" s="10" t="s">
        <v>337</v>
      </c>
      <c r="J211" s="10" t="s">
        <v>348</v>
      </c>
    </row>
    <row r="212" spans="1:10" ht="27.6" x14ac:dyDescent="0.3">
      <c r="A212" s="7">
        <v>209</v>
      </c>
      <c r="B212" s="7" t="s">
        <v>619</v>
      </c>
      <c r="C212" s="10" t="s">
        <v>620</v>
      </c>
      <c r="D212" s="8" t="s">
        <v>595</v>
      </c>
      <c r="E212" s="8"/>
      <c r="F212" s="10" t="s">
        <v>568</v>
      </c>
      <c r="G212" s="10" t="s">
        <v>358</v>
      </c>
      <c r="H212" s="7" t="s">
        <v>355</v>
      </c>
      <c r="I212" s="10" t="s">
        <v>337</v>
      </c>
      <c r="J212" s="10" t="s">
        <v>356</v>
      </c>
    </row>
    <row r="213" spans="1:10" ht="27.6" x14ac:dyDescent="0.3">
      <c r="A213" s="7">
        <v>210</v>
      </c>
      <c r="B213" s="7" t="s">
        <v>619</v>
      </c>
      <c r="C213" s="10" t="s">
        <v>620</v>
      </c>
      <c r="D213" s="8" t="s">
        <v>595</v>
      </c>
      <c r="E213" s="8"/>
      <c r="F213" s="10" t="s">
        <v>568</v>
      </c>
      <c r="G213" s="10" t="s">
        <v>362</v>
      </c>
      <c r="H213" s="7" t="s">
        <v>360</v>
      </c>
      <c r="I213" s="10" t="s">
        <v>337</v>
      </c>
      <c r="J213" s="10" t="s">
        <v>356</v>
      </c>
    </row>
    <row r="214" spans="1:10" ht="27.6" x14ac:dyDescent="0.3">
      <c r="A214" s="7">
        <v>211</v>
      </c>
      <c r="B214" s="7" t="s">
        <v>619</v>
      </c>
      <c r="C214" s="10" t="s">
        <v>620</v>
      </c>
      <c r="D214" s="8" t="s">
        <v>595</v>
      </c>
      <c r="E214" s="8"/>
      <c r="F214" s="10" t="s">
        <v>569</v>
      </c>
      <c r="G214" s="10" t="s">
        <v>366</v>
      </c>
      <c r="H214" s="7" t="s">
        <v>363</v>
      </c>
      <c r="I214" s="10" t="s">
        <v>337</v>
      </c>
      <c r="J214" s="10" t="s">
        <v>364</v>
      </c>
    </row>
    <row r="215" spans="1:10" ht="27.6" x14ac:dyDescent="0.3">
      <c r="A215" s="7">
        <v>212</v>
      </c>
      <c r="B215" s="7" t="s">
        <v>619</v>
      </c>
      <c r="C215" s="10" t="s">
        <v>620</v>
      </c>
      <c r="D215" s="8" t="s">
        <v>595</v>
      </c>
      <c r="E215" s="8"/>
      <c r="F215" s="10" t="s">
        <v>569</v>
      </c>
      <c r="G215" s="10" t="s">
        <v>369</v>
      </c>
      <c r="H215" s="7" t="s">
        <v>367</v>
      </c>
      <c r="I215" s="10" t="s">
        <v>337</v>
      </c>
      <c r="J215" s="10" t="s">
        <v>364</v>
      </c>
    </row>
    <row r="216" spans="1:10" x14ac:dyDescent="0.3">
      <c r="A216" s="7">
        <v>213</v>
      </c>
      <c r="B216" s="7" t="s">
        <v>619</v>
      </c>
      <c r="C216" s="10" t="s">
        <v>620</v>
      </c>
      <c r="D216" s="8" t="s">
        <v>595</v>
      </c>
      <c r="E216" s="8"/>
      <c r="F216" s="10" t="s">
        <v>570</v>
      </c>
      <c r="G216" s="10" t="s">
        <v>372</v>
      </c>
      <c r="H216" s="7" t="s">
        <v>370</v>
      </c>
      <c r="I216" s="10" t="s">
        <v>337</v>
      </c>
      <c r="J216" s="10" t="s">
        <v>364</v>
      </c>
    </row>
    <row r="217" spans="1:10" x14ac:dyDescent="0.3">
      <c r="A217" s="7">
        <v>214</v>
      </c>
      <c r="B217" s="7" t="s">
        <v>619</v>
      </c>
      <c r="C217" s="10" t="s">
        <v>620</v>
      </c>
      <c r="D217" s="8" t="s">
        <v>595</v>
      </c>
      <c r="E217" s="8"/>
      <c r="F217" s="10" t="s">
        <v>570</v>
      </c>
      <c r="G217" s="10" t="s">
        <v>374</v>
      </c>
      <c r="H217" s="7" t="s">
        <v>373</v>
      </c>
      <c r="I217" s="10" t="s">
        <v>337</v>
      </c>
      <c r="J217" s="10" t="s">
        <v>364</v>
      </c>
    </row>
    <row r="218" spans="1:10" x14ac:dyDescent="0.3">
      <c r="A218" s="7">
        <v>215</v>
      </c>
      <c r="B218" s="7" t="s">
        <v>619</v>
      </c>
      <c r="C218" s="10" t="s">
        <v>620</v>
      </c>
      <c r="D218" s="8" t="s">
        <v>595</v>
      </c>
      <c r="E218" s="8"/>
      <c r="F218" s="10" t="s">
        <v>377</v>
      </c>
      <c r="G218" s="10" t="s">
        <v>378</v>
      </c>
      <c r="H218" s="7" t="s">
        <v>375</v>
      </c>
      <c r="I218" s="10" t="s">
        <v>337</v>
      </c>
      <c r="J218" s="10" t="s">
        <v>376</v>
      </c>
    </row>
    <row r="219" spans="1:10" x14ac:dyDescent="0.3">
      <c r="A219" s="7">
        <v>216</v>
      </c>
      <c r="B219" s="7" t="s">
        <v>619</v>
      </c>
      <c r="C219" s="10" t="s">
        <v>620</v>
      </c>
      <c r="D219" s="8" t="s">
        <v>601</v>
      </c>
      <c r="E219" s="8"/>
      <c r="F219" s="10" t="s">
        <v>572</v>
      </c>
      <c r="G219" s="10" t="s">
        <v>282</v>
      </c>
      <c r="H219" s="7" t="s">
        <v>264</v>
      </c>
      <c r="I219" s="10" t="s">
        <v>250</v>
      </c>
      <c r="J219" s="10" t="s">
        <v>260</v>
      </c>
    </row>
    <row r="220" spans="1:10" x14ac:dyDescent="0.3">
      <c r="A220" s="7">
        <v>217</v>
      </c>
      <c r="B220" s="7" t="s">
        <v>619</v>
      </c>
      <c r="C220" s="10" t="s">
        <v>620</v>
      </c>
      <c r="D220" s="8" t="s">
        <v>601</v>
      </c>
      <c r="E220" s="8"/>
      <c r="F220" s="10" t="s">
        <v>572</v>
      </c>
      <c r="G220" s="10" t="s">
        <v>300</v>
      </c>
      <c r="H220" s="7" t="s">
        <v>289</v>
      </c>
      <c r="I220" s="10" t="s">
        <v>250</v>
      </c>
      <c r="J220" s="10" t="s">
        <v>286</v>
      </c>
    </row>
    <row r="221" spans="1:10" ht="27.6" x14ac:dyDescent="0.3">
      <c r="A221" s="7">
        <v>218</v>
      </c>
      <c r="B221" s="7" t="s">
        <v>619</v>
      </c>
      <c r="C221" s="10" t="s">
        <v>620</v>
      </c>
      <c r="D221" s="8" t="s">
        <v>601</v>
      </c>
      <c r="E221" s="8"/>
      <c r="F221" s="10" t="s">
        <v>572</v>
      </c>
      <c r="G221" s="10" t="s">
        <v>302</v>
      </c>
      <c r="H221" s="7" t="s">
        <v>294</v>
      </c>
      <c r="I221" s="10" t="s">
        <v>250</v>
      </c>
      <c r="J221" s="10" t="s">
        <v>286</v>
      </c>
    </row>
    <row r="222" spans="1:10" x14ac:dyDescent="0.3">
      <c r="A222" s="7">
        <v>219</v>
      </c>
      <c r="B222" s="7" t="s">
        <v>619</v>
      </c>
      <c r="C222" s="10" t="s">
        <v>620</v>
      </c>
      <c r="D222" s="8" t="s">
        <v>601</v>
      </c>
      <c r="E222" s="8"/>
      <c r="F222" s="10" t="s">
        <v>573</v>
      </c>
      <c r="G222" s="10" t="s">
        <v>402</v>
      </c>
      <c r="H222" s="7" t="s">
        <v>398</v>
      </c>
      <c r="I222" s="10" t="s">
        <v>399</v>
      </c>
      <c r="J222" s="10" t="s">
        <v>400</v>
      </c>
    </row>
    <row r="223" spans="1:10" x14ac:dyDescent="0.3">
      <c r="A223" s="7">
        <v>220</v>
      </c>
      <c r="B223" s="7" t="s">
        <v>619</v>
      </c>
      <c r="C223" s="10" t="s">
        <v>620</v>
      </c>
      <c r="D223" s="8" t="s">
        <v>601</v>
      </c>
      <c r="E223" s="8"/>
      <c r="F223" s="10" t="s">
        <v>573</v>
      </c>
      <c r="G223" s="10" t="s">
        <v>406</v>
      </c>
      <c r="H223" s="7" t="s">
        <v>404</v>
      </c>
      <c r="I223" s="10" t="s">
        <v>399</v>
      </c>
      <c r="J223" s="10" t="s">
        <v>400</v>
      </c>
    </row>
    <row r="224" spans="1:10" x14ac:dyDescent="0.3">
      <c r="A224" s="7">
        <v>221</v>
      </c>
      <c r="B224" s="7" t="s">
        <v>619</v>
      </c>
      <c r="C224" s="10" t="s">
        <v>620</v>
      </c>
      <c r="D224" s="8" t="s">
        <v>601</v>
      </c>
      <c r="E224" s="8"/>
      <c r="F224" s="10" t="s">
        <v>573</v>
      </c>
      <c r="G224" s="10" t="s">
        <v>409</v>
      </c>
      <c r="H224" s="7" t="s">
        <v>407</v>
      </c>
      <c r="I224" s="10" t="s">
        <v>399</v>
      </c>
      <c r="J224" s="10" t="s">
        <v>400</v>
      </c>
    </row>
    <row r="225" spans="1:10" x14ac:dyDescent="0.3">
      <c r="A225" s="7">
        <v>222</v>
      </c>
      <c r="B225" s="7" t="s">
        <v>619</v>
      </c>
      <c r="C225" s="10" t="s">
        <v>620</v>
      </c>
      <c r="D225" s="8" t="s">
        <v>601</v>
      </c>
      <c r="E225" s="8"/>
      <c r="F225" s="10" t="s">
        <v>574</v>
      </c>
      <c r="G225" s="10" t="s">
        <v>413</v>
      </c>
      <c r="H225" s="7" t="s">
        <v>410</v>
      </c>
      <c r="I225" s="10" t="s">
        <v>399</v>
      </c>
      <c r="J225" s="10" t="s">
        <v>411</v>
      </c>
    </row>
    <row r="226" spans="1:10" x14ac:dyDescent="0.3">
      <c r="A226" s="7">
        <v>223</v>
      </c>
      <c r="B226" s="7" t="s">
        <v>619</v>
      </c>
      <c r="C226" s="10" t="s">
        <v>620</v>
      </c>
      <c r="D226" s="8" t="s">
        <v>601</v>
      </c>
      <c r="E226" s="8"/>
      <c r="F226" s="10" t="s">
        <v>574</v>
      </c>
      <c r="G226" s="10" t="s">
        <v>417</v>
      </c>
      <c r="H226" s="7" t="s">
        <v>415</v>
      </c>
      <c r="I226" s="10" t="s">
        <v>399</v>
      </c>
      <c r="J226" s="10" t="s">
        <v>411</v>
      </c>
    </row>
    <row r="227" spans="1:10" ht="27.6" x14ac:dyDescent="0.3">
      <c r="A227" s="7">
        <v>224</v>
      </c>
      <c r="B227" s="7" t="s">
        <v>619</v>
      </c>
      <c r="C227" s="10" t="s">
        <v>620</v>
      </c>
      <c r="D227" s="8" t="s">
        <v>607</v>
      </c>
      <c r="E227" s="8"/>
      <c r="F227" s="10" t="s">
        <v>577</v>
      </c>
      <c r="G227" s="10" t="s">
        <v>435</v>
      </c>
      <c r="H227" s="7" t="s">
        <v>431</v>
      </c>
      <c r="I227" s="10" t="s">
        <v>432</v>
      </c>
      <c r="J227" s="10" t="s">
        <v>433</v>
      </c>
    </row>
    <row r="228" spans="1:10" ht="27.6" x14ac:dyDescent="0.3">
      <c r="A228" s="7">
        <v>225</v>
      </c>
      <c r="B228" s="7" t="s">
        <v>619</v>
      </c>
      <c r="C228" s="10" t="s">
        <v>620</v>
      </c>
      <c r="D228" s="8" t="s">
        <v>607</v>
      </c>
      <c r="E228" s="8"/>
      <c r="F228" s="10" t="s">
        <v>577</v>
      </c>
      <c r="G228" s="10" t="s">
        <v>439</v>
      </c>
      <c r="H228" s="7" t="s">
        <v>437</v>
      </c>
      <c r="I228" s="10" t="s">
        <v>432</v>
      </c>
      <c r="J228" s="10" t="s">
        <v>433</v>
      </c>
    </row>
    <row r="229" spans="1:10" ht="27.6" x14ac:dyDescent="0.3">
      <c r="A229" s="7">
        <v>226</v>
      </c>
      <c r="B229" s="7" t="s">
        <v>619</v>
      </c>
      <c r="C229" s="10" t="s">
        <v>620</v>
      </c>
      <c r="D229" s="8" t="s">
        <v>607</v>
      </c>
      <c r="E229" s="8"/>
      <c r="F229" s="10" t="s">
        <v>578</v>
      </c>
      <c r="G229" s="10" t="s">
        <v>442</v>
      </c>
      <c r="H229" s="7" t="s">
        <v>316</v>
      </c>
      <c r="I229" s="10" t="s">
        <v>432</v>
      </c>
      <c r="J229" s="10" t="s">
        <v>440</v>
      </c>
    </row>
    <row r="230" spans="1:10" x14ac:dyDescent="0.3">
      <c r="A230" s="7">
        <v>227</v>
      </c>
      <c r="B230" s="7" t="s">
        <v>619</v>
      </c>
      <c r="C230" s="10" t="s">
        <v>620</v>
      </c>
      <c r="D230" s="8" t="s">
        <v>623</v>
      </c>
      <c r="E230" s="8"/>
      <c r="F230" s="10" t="s">
        <v>579</v>
      </c>
      <c r="G230" s="10" t="s">
        <v>453</v>
      </c>
      <c r="H230" s="7" t="s">
        <v>450</v>
      </c>
      <c r="I230" s="10" t="s">
        <v>451</v>
      </c>
      <c r="J230" s="10" t="s">
        <v>452</v>
      </c>
    </row>
    <row r="231" spans="1:10" ht="27.6" x14ac:dyDescent="0.3">
      <c r="A231" s="7">
        <v>228</v>
      </c>
      <c r="B231" s="7" t="s">
        <v>619</v>
      </c>
      <c r="C231" s="10" t="s">
        <v>620</v>
      </c>
      <c r="D231" s="8" t="s">
        <v>623</v>
      </c>
      <c r="E231" s="8"/>
      <c r="F231" s="10" t="s">
        <v>580</v>
      </c>
      <c r="G231" s="10" t="s">
        <v>458</v>
      </c>
      <c r="H231" s="7" t="s">
        <v>456</v>
      </c>
      <c r="I231" s="10" t="s">
        <v>451</v>
      </c>
      <c r="J231" s="10" t="s">
        <v>457</v>
      </c>
    </row>
    <row r="232" spans="1:10" ht="27.6" x14ac:dyDescent="0.3">
      <c r="A232" s="7">
        <v>229</v>
      </c>
      <c r="B232" s="7" t="s">
        <v>619</v>
      </c>
      <c r="C232" s="10" t="s">
        <v>620</v>
      </c>
      <c r="D232" s="8" t="s">
        <v>623</v>
      </c>
      <c r="E232" s="8"/>
      <c r="F232" s="10" t="s">
        <v>460</v>
      </c>
      <c r="G232" s="10" t="s">
        <v>461</v>
      </c>
      <c r="H232" s="7" t="s">
        <v>459</v>
      </c>
      <c r="I232" s="10" t="s">
        <v>451</v>
      </c>
      <c r="J232" s="10" t="s">
        <v>460</v>
      </c>
    </row>
    <row r="233" spans="1:10" ht="27.6" x14ac:dyDescent="0.3">
      <c r="A233" s="7">
        <v>230</v>
      </c>
      <c r="B233" s="7" t="s">
        <v>619</v>
      </c>
      <c r="C233" s="10" t="s">
        <v>620</v>
      </c>
      <c r="D233" s="8" t="s">
        <v>624</v>
      </c>
      <c r="E233" s="8"/>
      <c r="F233" s="10" t="s">
        <v>581</v>
      </c>
      <c r="G233" s="10" t="s">
        <v>503</v>
      </c>
      <c r="H233" s="7" t="s">
        <v>499</v>
      </c>
      <c r="I233" s="10" t="s">
        <v>500</v>
      </c>
      <c r="J233" s="10" t="s">
        <v>501</v>
      </c>
    </row>
    <row r="234" spans="1:10" ht="27.6" x14ac:dyDescent="0.3">
      <c r="A234" s="7">
        <v>231</v>
      </c>
      <c r="B234" s="7" t="s">
        <v>619</v>
      </c>
      <c r="C234" s="10" t="s">
        <v>620</v>
      </c>
      <c r="D234" s="8" t="s">
        <v>624</v>
      </c>
      <c r="E234" s="8"/>
      <c r="F234" s="10" t="s">
        <v>581</v>
      </c>
      <c r="G234" s="10" t="s">
        <v>506</v>
      </c>
      <c r="H234" s="7" t="s">
        <v>504</v>
      </c>
      <c r="I234" s="10" t="s">
        <v>500</v>
      </c>
      <c r="J234" s="10" t="s">
        <v>501</v>
      </c>
    </row>
    <row r="235" spans="1:10" x14ac:dyDescent="0.3">
      <c r="A235" s="7">
        <v>232</v>
      </c>
      <c r="B235" s="7" t="s">
        <v>619</v>
      </c>
      <c r="C235" s="10" t="s">
        <v>620</v>
      </c>
      <c r="D235" s="8" t="s">
        <v>624</v>
      </c>
      <c r="E235" s="8"/>
      <c r="F235" s="10" t="s">
        <v>625</v>
      </c>
      <c r="G235" s="10" t="s">
        <v>467</v>
      </c>
      <c r="H235" s="7" t="s">
        <v>463</v>
      </c>
      <c r="I235" s="10" t="s">
        <v>464</v>
      </c>
      <c r="J235" s="10" t="s">
        <v>465</v>
      </c>
    </row>
    <row r="236" spans="1:10" ht="27.6" x14ac:dyDescent="0.3">
      <c r="A236" s="7">
        <v>233</v>
      </c>
      <c r="B236" s="7" t="s">
        <v>619</v>
      </c>
      <c r="C236" s="10" t="s">
        <v>620</v>
      </c>
      <c r="D236" s="8" t="s">
        <v>624</v>
      </c>
      <c r="E236" s="8"/>
      <c r="F236" s="10" t="s">
        <v>625</v>
      </c>
      <c r="G236" s="10" t="s">
        <v>472</v>
      </c>
      <c r="H236" s="7" t="s">
        <v>470</v>
      </c>
      <c r="I236" s="10" t="s">
        <v>464</v>
      </c>
      <c r="J236" s="10" t="s">
        <v>465</v>
      </c>
    </row>
    <row r="237" spans="1:10" x14ac:dyDescent="0.3">
      <c r="A237" s="7">
        <v>234</v>
      </c>
      <c r="B237" s="7" t="s">
        <v>619</v>
      </c>
      <c r="C237" s="10" t="s">
        <v>620</v>
      </c>
      <c r="D237" s="8" t="s">
        <v>624</v>
      </c>
      <c r="E237" s="8"/>
      <c r="F237" s="10" t="s">
        <v>599</v>
      </c>
      <c r="G237" s="10" t="s">
        <v>482</v>
      </c>
      <c r="H237" s="7" t="s">
        <v>480</v>
      </c>
      <c r="I237" s="10" t="s">
        <v>464</v>
      </c>
      <c r="J237" s="10" t="s">
        <v>481</v>
      </c>
    </row>
  </sheetData>
  <autoFilter ref="A3:J23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5"/>
  <sheetViews>
    <sheetView showGridLines="0" workbookViewId="0">
      <selection activeCell="A14" sqref="A14"/>
    </sheetView>
  </sheetViews>
  <sheetFormatPr baseColWidth="10" defaultColWidth="8.88671875" defaultRowHeight="14.4" x14ac:dyDescent="0.3"/>
  <cols>
    <col min="1" max="1" width="46" customWidth="1"/>
    <col min="2" max="2" width="34" customWidth="1"/>
    <col min="3" max="3" width="46" customWidth="1"/>
    <col min="4" max="4" width="16" customWidth="1"/>
    <col min="5" max="5" width="20" customWidth="1"/>
    <col min="6" max="7" width="14" customWidth="1"/>
  </cols>
  <sheetData>
    <row r="1" spans="1:6" ht="24" customHeight="1" x14ac:dyDescent="0.4">
      <c r="A1" s="1" t="s">
        <v>626</v>
      </c>
      <c r="F1" s="2" t="s">
        <v>1</v>
      </c>
    </row>
    <row r="3" spans="1:6" x14ac:dyDescent="0.3">
      <c r="A3" s="22" t="s">
        <v>627</v>
      </c>
    </row>
    <row r="4" spans="1:6" x14ac:dyDescent="0.3">
      <c r="A4" s="23" t="s">
        <v>88</v>
      </c>
      <c r="B4" s="23" t="s">
        <v>628</v>
      </c>
      <c r="C4" s="23" t="s">
        <v>629</v>
      </c>
      <c r="D4" s="23" t="s">
        <v>630</v>
      </c>
    </row>
    <row r="5" spans="1:6" x14ac:dyDescent="0.3">
      <c r="A5" s="24" t="s">
        <v>112</v>
      </c>
      <c r="B5" s="25">
        <f>COUNTIF(Référentiel!$C$4:$C$119,$A5)</f>
        <v>24</v>
      </c>
      <c r="C5" s="25">
        <f>COUNTIFS(Référentiel!$C$4:$C$119,$A5,Référentiel!$H$4:$H$119,"Programme de formation")</f>
        <v>24</v>
      </c>
      <c r="D5" s="25">
        <f>COUNTIFS(Référentiel!$C$4:$C$119,$A5,Référentiel!$S$4:$S$119,"P0")</f>
        <v>0</v>
      </c>
    </row>
    <row r="6" spans="1:6" x14ac:dyDescent="0.3">
      <c r="A6" s="24" t="s">
        <v>198</v>
      </c>
      <c r="B6" s="25">
        <f>COUNTIF(Référentiel!$C$4:$C$119,$A6)</f>
        <v>15</v>
      </c>
      <c r="C6" s="25">
        <f>COUNTIFS(Référentiel!$C$4:$C$119,$A6,Référentiel!$H$4:$H$119,"Programme de formation")</f>
        <v>15</v>
      </c>
      <c r="D6" s="25">
        <f>COUNTIFS(Référentiel!$C$4:$C$119,$A6,Référentiel!$S$4:$S$119,"P0")</f>
        <v>0</v>
      </c>
    </row>
    <row r="7" spans="1:6" x14ac:dyDescent="0.3">
      <c r="A7" s="24" t="s">
        <v>250</v>
      </c>
      <c r="B7" s="25">
        <f>COUNTIF(Référentiel!$C$4:$C$119,$A7)</f>
        <v>22</v>
      </c>
      <c r="C7" s="25">
        <f>COUNTIFS(Référentiel!$C$4:$C$119,$A7,Référentiel!$H$4:$H$119,"Programme de formation")</f>
        <v>3</v>
      </c>
      <c r="D7" s="25">
        <f>COUNTIFS(Référentiel!$C$4:$C$119,$A7,Référentiel!$S$4:$S$119,"P0")</f>
        <v>0</v>
      </c>
    </row>
    <row r="8" spans="1:6" x14ac:dyDescent="0.3">
      <c r="A8" s="24" t="s">
        <v>337</v>
      </c>
      <c r="B8" s="25">
        <f>COUNTIF(Référentiel!$C$4:$C$119,$A8)</f>
        <v>17</v>
      </c>
      <c r="C8" s="25">
        <f>COUNTIFS(Référentiel!$C$4:$C$119,$A8,Référentiel!$H$4:$H$119,"Programme de formation")</f>
        <v>17</v>
      </c>
      <c r="D8" s="25">
        <f>COUNTIFS(Référentiel!$C$4:$C$119,$A8,Référentiel!$S$4:$S$119,"P0")</f>
        <v>0</v>
      </c>
    </row>
    <row r="9" spans="1:6" x14ac:dyDescent="0.3">
      <c r="A9" s="24" t="s">
        <v>399</v>
      </c>
      <c r="B9" s="25">
        <f>COUNTIF(Référentiel!$C$4:$C$119,$A9)</f>
        <v>9</v>
      </c>
      <c r="C9" s="25">
        <f>COUNTIFS(Référentiel!$C$4:$C$119,$A9,Référentiel!$H$4:$H$119,"Programme de formation")</f>
        <v>9</v>
      </c>
      <c r="D9" s="25">
        <f>COUNTIFS(Référentiel!$C$4:$C$119,$A9,Référentiel!$S$4:$S$119,"P0")</f>
        <v>0</v>
      </c>
    </row>
    <row r="10" spans="1:6" x14ac:dyDescent="0.3">
      <c r="A10" s="24" t="s">
        <v>432</v>
      </c>
      <c r="B10" s="25">
        <f>COUNTIF(Référentiel!$C$4:$C$119,$A10)</f>
        <v>5</v>
      </c>
      <c r="C10" s="25">
        <f>COUNTIFS(Référentiel!$C$4:$C$119,$A10,Référentiel!$H$4:$H$119,"Programme de formation")</f>
        <v>5</v>
      </c>
      <c r="D10" s="25">
        <f>COUNTIFS(Référentiel!$C$4:$C$119,$A10,Référentiel!$S$4:$S$119,"P0")</f>
        <v>0</v>
      </c>
    </row>
    <row r="11" spans="1:6" x14ac:dyDescent="0.3">
      <c r="A11" s="24" t="s">
        <v>451</v>
      </c>
      <c r="B11" s="25">
        <f>COUNTIF(Référentiel!$C$4:$C$119,$A11)</f>
        <v>3</v>
      </c>
      <c r="C11" s="25">
        <f>COUNTIFS(Référentiel!$C$4:$C$119,$A11,Référentiel!$H$4:$H$119,"Programme de formation")</f>
        <v>3</v>
      </c>
      <c r="D11" s="25">
        <f>COUNTIFS(Référentiel!$C$4:$C$119,$A11,Référentiel!$S$4:$S$119,"P0")</f>
        <v>0</v>
      </c>
    </row>
    <row r="12" spans="1:6" x14ac:dyDescent="0.3">
      <c r="A12" s="24" t="s">
        <v>464</v>
      </c>
      <c r="B12" s="25">
        <f>COUNTIF(Référentiel!$C$4:$C$119,$A12)</f>
        <v>10</v>
      </c>
      <c r="C12" s="25">
        <f>COUNTIFS(Référentiel!$C$4:$C$119,$A12,Référentiel!$H$4:$H$119,"Programme de formation")</f>
        <v>10</v>
      </c>
      <c r="D12" s="25">
        <f>COUNTIFS(Référentiel!$C$4:$C$119,$A12,Référentiel!$S$4:$S$119,"P0")</f>
        <v>0</v>
      </c>
    </row>
    <row r="13" spans="1:6" x14ac:dyDescent="0.3">
      <c r="A13" s="24" t="s">
        <v>500</v>
      </c>
      <c r="B13" s="25">
        <f>COUNTIF(Référentiel!$C$4:$C$119,$A13)</f>
        <v>7</v>
      </c>
      <c r="C13" s="25">
        <f>COUNTIFS(Référentiel!$C$4:$C$119,$A13,Référentiel!$H$4:$H$119,"Programme de formation")</f>
        <v>7</v>
      </c>
      <c r="D13" s="25">
        <f>COUNTIFS(Référentiel!$C$4:$C$119,$A13,Référentiel!$S$4:$S$119,"P0")</f>
        <v>0</v>
      </c>
    </row>
    <row r="14" spans="1:6" x14ac:dyDescent="0.3">
      <c r="A14" s="24" t="s">
        <v>527</v>
      </c>
      <c r="B14" s="25">
        <f>COUNTIF(Référentiel!$C$4:$C$119,$A14)</f>
        <v>4</v>
      </c>
      <c r="C14" s="25">
        <f>COUNTIFS(Référentiel!$C$4:$C$119,$A14,Référentiel!$H$4:$H$119,"Programme de formation")</f>
        <v>4</v>
      </c>
      <c r="D14" s="25">
        <f>COUNTIFS(Référentiel!$C$4:$C$119,$A14,Référentiel!$S$4:$S$119,"P0")</f>
        <v>0</v>
      </c>
    </row>
    <row r="16" spans="1:6" x14ac:dyDescent="0.3">
      <c r="A16" s="22" t="s">
        <v>631</v>
      </c>
    </row>
    <row r="17" spans="1:2" x14ac:dyDescent="0.3">
      <c r="A17" s="23" t="s">
        <v>92</v>
      </c>
      <c r="B17" s="23" t="s">
        <v>628</v>
      </c>
    </row>
    <row r="18" spans="1:2" x14ac:dyDescent="0.3">
      <c r="A18" s="24" t="s">
        <v>116</v>
      </c>
      <c r="B18" s="25">
        <f>COUNTIF(Référentiel!$G$4:$G$119,$A18)</f>
        <v>50</v>
      </c>
    </row>
    <row r="19" spans="1:2" x14ac:dyDescent="0.3">
      <c r="A19" s="24" t="s">
        <v>216</v>
      </c>
      <c r="B19" s="25">
        <f>COUNTIF(Référentiel!$G$4:$G$119,$A19)</f>
        <v>33</v>
      </c>
    </row>
    <row r="20" spans="1:2" x14ac:dyDescent="0.3">
      <c r="A20" s="24" t="s">
        <v>383</v>
      </c>
      <c r="B20" s="25">
        <f>COUNTIF(Référentiel!$G$4:$G$119,$A20)</f>
        <v>21</v>
      </c>
    </row>
    <row r="21" spans="1:2" x14ac:dyDescent="0.3">
      <c r="A21" s="24" t="s">
        <v>468</v>
      </c>
      <c r="B21" s="25">
        <f>COUNTIF(Référentiel!$G$4:$G$119,$A21)</f>
        <v>12</v>
      </c>
    </row>
    <row r="23" spans="1:2" x14ac:dyDescent="0.3">
      <c r="A23" s="22" t="s">
        <v>632</v>
      </c>
    </row>
    <row r="24" spans="1:2" x14ac:dyDescent="0.3">
      <c r="A24" s="23" t="s">
        <v>633</v>
      </c>
      <c r="B24" s="23" t="s">
        <v>628</v>
      </c>
    </row>
    <row r="25" spans="1:2" x14ac:dyDescent="0.3">
      <c r="A25" s="24" t="s">
        <v>270</v>
      </c>
      <c r="B25" s="25">
        <f>COUNTIF(Référentiel!$R$4:$R$119,$A25)</f>
        <v>8</v>
      </c>
    </row>
    <row r="26" spans="1:2" x14ac:dyDescent="0.3">
      <c r="A26" s="24" t="s">
        <v>277</v>
      </c>
      <c r="B26" s="25">
        <f>COUNTIF(Référentiel!$R$4:$R$119,$A26)</f>
        <v>9</v>
      </c>
    </row>
    <row r="27" spans="1:2" x14ac:dyDescent="0.3">
      <c r="A27" s="24" t="s">
        <v>180</v>
      </c>
      <c r="B27" s="25">
        <f>COUNTIF(Référentiel!$R$4:$R$119,$A27)</f>
        <v>18</v>
      </c>
    </row>
    <row r="28" spans="1:2" x14ac:dyDescent="0.3">
      <c r="A28" s="24" t="s">
        <v>403</v>
      </c>
      <c r="B28" s="25">
        <f>COUNTIF(Référentiel!$R$4:$R$119,$A28)</f>
        <v>8</v>
      </c>
    </row>
    <row r="29" spans="1:2" x14ac:dyDescent="0.3">
      <c r="A29" s="24" t="s">
        <v>139</v>
      </c>
      <c r="B29" s="25">
        <f>COUNTIF(Référentiel!$R$4:$R$119,$A29)</f>
        <v>26</v>
      </c>
    </row>
    <row r="30" spans="1:2" x14ac:dyDescent="0.3">
      <c r="A30" s="24" t="s">
        <v>119</v>
      </c>
      <c r="B30" s="25">
        <f>COUNTIF(Référentiel!$R$4:$R$119,$A30)</f>
        <v>46</v>
      </c>
    </row>
    <row r="32" spans="1:2" x14ac:dyDescent="0.3">
      <c r="A32" s="22" t="s">
        <v>634</v>
      </c>
    </row>
    <row r="33" spans="1:3" x14ac:dyDescent="0.3">
      <c r="A33" s="23" t="s">
        <v>104</v>
      </c>
      <c r="B33" s="23" t="s">
        <v>628</v>
      </c>
    </row>
    <row r="34" spans="1:3" x14ac:dyDescent="0.3">
      <c r="A34" s="24" t="s">
        <v>140</v>
      </c>
      <c r="B34" s="25">
        <f>COUNTIF(Référentiel!$S$4:$S$119,$A34)</f>
        <v>66</v>
      </c>
    </row>
    <row r="35" spans="1:3" x14ac:dyDescent="0.3">
      <c r="A35" s="24" t="s">
        <v>351</v>
      </c>
      <c r="B35" s="25">
        <f>COUNTIF(Référentiel!$S$4:$S$119,$A35)</f>
        <v>4</v>
      </c>
    </row>
    <row r="36" spans="1:3" x14ac:dyDescent="0.3">
      <c r="A36" s="24" t="s">
        <v>120</v>
      </c>
      <c r="B36" s="25">
        <f>COUNTIF(Référentiel!$S$4:$S$119,$A36)</f>
        <v>22</v>
      </c>
    </row>
    <row r="37" spans="1:3" x14ac:dyDescent="0.3">
      <c r="A37" s="24" t="s">
        <v>196</v>
      </c>
      <c r="B37" s="25">
        <f>COUNTIF(Référentiel!$S$4:$S$119,$A37)</f>
        <v>24</v>
      </c>
    </row>
    <row r="39" spans="1:3" x14ac:dyDescent="0.3">
      <c r="A39" s="22" t="s">
        <v>635</v>
      </c>
    </row>
    <row r="40" spans="1:3" x14ac:dyDescent="0.3">
      <c r="A40" s="23" t="s">
        <v>556</v>
      </c>
      <c r="B40" s="23" t="s">
        <v>636</v>
      </c>
      <c r="C40" s="23" t="s">
        <v>637</v>
      </c>
    </row>
    <row r="41" spans="1:3" x14ac:dyDescent="0.3">
      <c r="A41" s="24" t="s">
        <v>563</v>
      </c>
      <c r="B41" s="25">
        <v>23</v>
      </c>
      <c r="C41" s="25">
        <f>COUNTIF(Référentiel!$I$4:$I$119,"&lt;&gt;")</f>
        <v>23</v>
      </c>
    </row>
    <row r="42" spans="1:3" x14ac:dyDescent="0.3">
      <c r="A42" s="24" t="s">
        <v>576</v>
      </c>
      <c r="B42" s="25">
        <v>12</v>
      </c>
      <c r="C42" s="25">
        <f>COUNTIF(Référentiel!$J$4:$J$119,"&lt;&gt;")</f>
        <v>12</v>
      </c>
    </row>
    <row r="43" spans="1:3" x14ac:dyDescent="0.3">
      <c r="A43" s="24" t="s">
        <v>585</v>
      </c>
      <c r="B43" s="25">
        <v>43</v>
      </c>
      <c r="C43" s="25">
        <f>COUNTIF(Référentiel!$K$4:$K$119,"&lt;&gt;")</f>
        <v>43</v>
      </c>
    </row>
    <row r="44" spans="1:3" x14ac:dyDescent="0.3">
      <c r="A44" s="24" t="s">
        <v>615</v>
      </c>
      <c r="B44" s="25">
        <v>43</v>
      </c>
      <c r="C44" s="25">
        <f>COUNTIF(Référentiel!$L$4:$L$119,"&lt;&gt;")</f>
        <v>43</v>
      </c>
    </row>
    <row r="45" spans="1:3" x14ac:dyDescent="0.3">
      <c r="A45" s="24" t="s">
        <v>617</v>
      </c>
      <c r="B45" s="25">
        <v>54</v>
      </c>
      <c r="C45" s="25">
        <f>COUNTIF(Référentiel!$M$4:$M$119,"&lt;&gt;")</f>
        <v>54</v>
      </c>
    </row>
    <row r="46" spans="1:3" x14ac:dyDescent="0.3">
      <c r="A46" s="24" t="s">
        <v>620</v>
      </c>
      <c r="B46" s="25">
        <v>59</v>
      </c>
      <c r="C46" s="25">
        <f>COUNTIF(Référentiel!$N$4:$N$119,"&lt;&gt;")</f>
        <v>59</v>
      </c>
    </row>
    <row r="48" spans="1:3" x14ac:dyDescent="0.3">
      <c r="A48" s="22" t="s">
        <v>638</v>
      </c>
    </row>
    <row r="49" spans="1:5" x14ac:dyDescent="0.3">
      <c r="A49" s="23" t="s">
        <v>639</v>
      </c>
      <c r="B49" s="23" t="s">
        <v>640</v>
      </c>
    </row>
    <row r="50" spans="1:5" x14ac:dyDescent="0.3">
      <c r="A50" s="24" t="s">
        <v>641</v>
      </c>
      <c r="B50" s="25">
        <v>4</v>
      </c>
    </row>
    <row r="51" spans="1:5" x14ac:dyDescent="0.3">
      <c r="A51" s="24" t="s">
        <v>642</v>
      </c>
      <c r="B51" s="25">
        <v>5</v>
      </c>
    </row>
    <row r="52" spans="1:5" x14ac:dyDescent="0.3">
      <c r="A52" s="24" t="s">
        <v>643</v>
      </c>
      <c r="B52" s="25">
        <v>10</v>
      </c>
    </row>
    <row r="54" spans="1:5" x14ac:dyDescent="0.3">
      <c r="A54" s="26" t="s">
        <v>644</v>
      </c>
    </row>
    <row r="55" spans="1:5" x14ac:dyDescent="0.3">
      <c r="A55" s="27" t="s">
        <v>87</v>
      </c>
      <c r="B55" s="27" t="s">
        <v>89</v>
      </c>
      <c r="C55" s="27" t="s">
        <v>90</v>
      </c>
      <c r="D55" s="27" t="s">
        <v>92</v>
      </c>
      <c r="E55" s="27" t="s">
        <v>633</v>
      </c>
    </row>
    <row r="56" spans="1:5" x14ac:dyDescent="0.3">
      <c r="A56" s="24" t="s">
        <v>249</v>
      </c>
      <c r="B56" s="24" t="s">
        <v>251</v>
      </c>
      <c r="C56" s="24" t="s">
        <v>252</v>
      </c>
      <c r="D56" s="24" t="s">
        <v>116</v>
      </c>
      <c r="E56" s="24" t="s">
        <v>180</v>
      </c>
    </row>
    <row r="57" spans="1:5" x14ac:dyDescent="0.3">
      <c r="A57" s="24" t="s">
        <v>256</v>
      </c>
      <c r="B57" s="24" t="s">
        <v>251</v>
      </c>
      <c r="C57" s="24" t="s">
        <v>257</v>
      </c>
      <c r="D57" s="24" t="s">
        <v>216</v>
      </c>
      <c r="E57" s="24" t="s">
        <v>180</v>
      </c>
    </row>
    <row r="58" spans="1:5" x14ac:dyDescent="0.3">
      <c r="A58" s="24" t="s">
        <v>303</v>
      </c>
      <c r="B58" s="24" t="s">
        <v>304</v>
      </c>
      <c r="C58" s="24" t="s">
        <v>305</v>
      </c>
      <c r="D58" s="24" t="s">
        <v>216</v>
      </c>
      <c r="E58" s="24" t="s">
        <v>270</v>
      </c>
    </row>
    <row r="59" spans="1:5" x14ac:dyDescent="0.3">
      <c r="A59" s="24" t="s">
        <v>307</v>
      </c>
      <c r="B59" s="24" t="s">
        <v>304</v>
      </c>
      <c r="C59" s="24" t="s">
        <v>308</v>
      </c>
      <c r="D59" s="24" t="s">
        <v>216</v>
      </c>
      <c r="E59" s="24" t="s">
        <v>270</v>
      </c>
    </row>
    <row r="60" spans="1:5" x14ac:dyDescent="0.3">
      <c r="A60" s="24" t="s">
        <v>310</v>
      </c>
      <c r="B60" s="24" t="s">
        <v>304</v>
      </c>
      <c r="C60" s="24" t="s">
        <v>311</v>
      </c>
      <c r="D60" s="24" t="s">
        <v>216</v>
      </c>
      <c r="E60" s="24" t="s">
        <v>277</v>
      </c>
    </row>
    <row r="61" spans="1:5" x14ac:dyDescent="0.3">
      <c r="A61" s="24" t="s">
        <v>319</v>
      </c>
      <c r="B61" s="24" t="s">
        <v>320</v>
      </c>
      <c r="C61" s="24" t="s">
        <v>321</v>
      </c>
      <c r="D61" s="24" t="s">
        <v>116</v>
      </c>
      <c r="E61" s="24" t="s">
        <v>180</v>
      </c>
    </row>
    <row r="62" spans="1:5" x14ac:dyDescent="0.3">
      <c r="A62" s="24" t="s">
        <v>323</v>
      </c>
      <c r="B62" s="24" t="s">
        <v>320</v>
      </c>
      <c r="C62" s="24" t="s">
        <v>324</v>
      </c>
      <c r="D62" s="24" t="s">
        <v>216</v>
      </c>
      <c r="E62" s="24" t="s">
        <v>180</v>
      </c>
    </row>
    <row r="63" spans="1:5" x14ac:dyDescent="0.3">
      <c r="A63" s="24" t="s">
        <v>326</v>
      </c>
      <c r="B63" s="24" t="s">
        <v>327</v>
      </c>
      <c r="C63" s="24" t="s">
        <v>328</v>
      </c>
      <c r="D63" s="24" t="s">
        <v>116</v>
      </c>
      <c r="E63" s="24" t="s">
        <v>180</v>
      </c>
    </row>
    <row r="64" spans="1:5" x14ac:dyDescent="0.3">
      <c r="A64" s="24" t="s">
        <v>330</v>
      </c>
      <c r="B64" s="24" t="s">
        <v>327</v>
      </c>
      <c r="C64" s="24" t="s">
        <v>331</v>
      </c>
      <c r="D64" s="24" t="s">
        <v>216</v>
      </c>
      <c r="E64" s="24" t="s">
        <v>180</v>
      </c>
    </row>
    <row r="65" spans="1:5" x14ac:dyDescent="0.3">
      <c r="A65" s="24" t="s">
        <v>333</v>
      </c>
      <c r="B65" s="24" t="s">
        <v>327</v>
      </c>
      <c r="C65" s="24" t="s">
        <v>334</v>
      </c>
      <c r="D65" s="24" t="s">
        <v>216</v>
      </c>
      <c r="E65" s="24" t="s">
        <v>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/>
  </sheetViews>
  <sheetFormatPr baseColWidth="10" defaultColWidth="8.88671875" defaultRowHeight="14.4" x14ac:dyDescent="0.3"/>
  <cols>
    <col min="1" max="6" width="34" customWidth="1"/>
  </cols>
  <sheetData>
    <row r="1" spans="1:6" ht="24" customHeight="1" x14ac:dyDescent="0.4">
      <c r="A1" s="1" t="s">
        <v>645</v>
      </c>
      <c r="F1" s="2" t="s">
        <v>1</v>
      </c>
    </row>
    <row r="3" spans="1:6" x14ac:dyDescent="0.3">
      <c r="A3" s="23" t="s">
        <v>646</v>
      </c>
      <c r="B3" s="23" t="s">
        <v>647</v>
      </c>
      <c r="C3" s="23" t="s">
        <v>633</v>
      </c>
      <c r="D3" s="23" t="s">
        <v>648</v>
      </c>
      <c r="E3" s="23" t="s">
        <v>649</v>
      </c>
      <c r="F3" s="23" t="s">
        <v>650</v>
      </c>
    </row>
    <row r="4" spans="1:6" x14ac:dyDescent="0.3">
      <c r="A4" s="24" t="s">
        <v>112</v>
      </c>
      <c r="B4" s="24" t="s">
        <v>116</v>
      </c>
      <c r="C4" s="24" t="s">
        <v>270</v>
      </c>
      <c r="D4" s="24" t="s">
        <v>140</v>
      </c>
      <c r="E4" s="24" t="s">
        <v>121</v>
      </c>
      <c r="F4" s="24" t="s">
        <v>651</v>
      </c>
    </row>
    <row r="5" spans="1:6" x14ac:dyDescent="0.3">
      <c r="A5" s="24" t="s">
        <v>198</v>
      </c>
      <c r="B5" s="24" t="s">
        <v>216</v>
      </c>
      <c r="C5" s="24" t="s">
        <v>277</v>
      </c>
      <c r="D5" s="24" t="s">
        <v>351</v>
      </c>
      <c r="E5" s="24" t="s">
        <v>218</v>
      </c>
      <c r="F5" s="24" t="s">
        <v>652</v>
      </c>
    </row>
    <row r="6" spans="1:6" x14ac:dyDescent="0.3">
      <c r="A6" s="24" t="s">
        <v>250</v>
      </c>
      <c r="B6" s="24" t="s">
        <v>383</v>
      </c>
      <c r="C6" s="24" t="s">
        <v>180</v>
      </c>
      <c r="D6" s="24" t="s">
        <v>120</v>
      </c>
      <c r="E6" s="24" t="s">
        <v>385</v>
      </c>
      <c r="F6" s="24" t="s">
        <v>653</v>
      </c>
    </row>
    <row r="7" spans="1:6" x14ac:dyDescent="0.3">
      <c r="A7" s="24" t="s">
        <v>337</v>
      </c>
      <c r="B7" s="24" t="s">
        <v>468</v>
      </c>
      <c r="C7" s="24" t="s">
        <v>403</v>
      </c>
      <c r="D7" s="24" t="s">
        <v>196</v>
      </c>
      <c r="F7" s="24" t="s">
        <v>654</v>
      </c>
    </row>
    <row r="8" spans="1:6" x14ac:dyDescent="0.3">
      <c r="A8" s="24" t="s">
        <v>399</v>
      </c>
      <c r="C8" s="24" t="s">
        <v>139</v>
      </c>
    </row>
    <row r="9" spans="1:6" x14ac:dyDescent="0.3">
      <c r="A9" s="24" t="s">
        <v>432</v>
      </c>
      <c r="C9" s="24" t="s">
        <v>119</v>
      </c>
    </row>
    <row r="10" spans="1:6" x14ac:dyDescent="0.3">
      <c r="A10" s="24" t="s">
        <v>451</v>
      </c>
    </row>
    <row r="11" spans="1:6" x14ac:dyDescent="0.3">
      <c r="A11" s="24" t="s">
        <v>464</v>
      </c>
    </row>
    <row r="12" spans="1:6" x14ac:dyDescent="0.3">
      <c r="A12" s="24" t="s">
        <v>500</v>
      </c>
    </row>
    <row r="13" spans="1:6" x14ac:dyDescent="0.3">
      <c r="A13" s="24" t="s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Lisez-moi</vt:lpstr>
      <vt:lpstr>Référentiel</vt:lpstr>
      <vt:lpstr>Fondamentaux V1</vt:lpstr>
      <vt:lpstr>Contenu programmes</vt:lpstr>
      <vt:lpstr>Synthèse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cva.rhinodeveloppements</cp:lastModifiedBy>
  <dcterms:created xsi:type="dcterms:W3CDTF">2026-08-25T15:56:08Z</dcterms:created>
  <dcterms:modified xsi:type="dcterms:W3CDTF">2026-08-26T15:22:10Z</dcterms:modified>
</cp:coreProperties>
</file>