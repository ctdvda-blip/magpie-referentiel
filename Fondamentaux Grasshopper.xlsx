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<sst xmlns="http://schemas.openxmlformats.org/spreadsheetml/2006/main" count="102" uniqueCount="65">
  <si>
    <t>Ordre de dépendence</t>
  </si>
  <si>
    <t>Catégorie</t>
  </si>
  <si>
    <t>Notion</t>
  </si>
  <si>
    <t>Description</t>
  </si>
  <si>
    <t>ValidationMode suggéré</t>
  </si>
  <si>
    <t>A réaliser par</t>
  </si>
  <si>
    <t>Statut</t>
  </si>
  <si>
    <t>Lien</t>
  </si>
  <si>
    <t>Types</t>
  </si>
  <si>
    <t>Types de base et conversion implicite</t>
  </si>
  <si>
    <t>Comportement d'un flux de données (Number, Integer, Text, Boolean, Point...) quand il est accepté implicitement par un composant attendant un autre type (ex : slider → integer).</t>
  </si>
  <si>
    <t>SingleValue</t>
  </si>
  <si>
    <t>Échec de conversion et valeurs invalides</t>
  </si>
  <si>
    <t>Ce qui se produit quand une conversion implicite échoue (texte non numérique vers un input numérique, etc.) : message d'erreur, valeur nulle, composant en échec.</t>
  </si>
  <si>
    <t>Listes</t>
  </si>
  <si>
    <t>Item, liste et indexation (0-based)</t>
  </si>
  <si>
    <t>Différence entre un item unique et une liste, lecture d'un élément à un index donné (List Item), indexation négative.</t>
  </si>
  <si>
    <t>Longueur et génération de séries</t>
  </si>
  <si>
    <t>Comptage d'une liste (List Length) et génération de séquences numériques (Series, Range).</t>
  </si>
  <si>
    <t>ExactOrderedList</t>
  </si>
  <si>
    <t>Comportements implicites</t>
  </si>
  <si>
    <t>Data Matching par défaut (shortest list)</t>
  </si>
  <si>
    <t>Comportement automatique de Grasshopper quand deux listes de tailles différentes entrent dans un même composant : troncature implicite sur la plus courte.</t>
  </si>
  <si>
    <t>Data Matching explicite (Longest List, Cross Reference)</t>
  </si>
  <si>
    <t>Bascule volontaire entre les modes de correspondance (clic droit sur le composant) et conséquences sur le résultat produit.</t>
  </si>
  <si>
    <t>Tri (Sort List, Sort Text)</t>
  </si>
  <si>
    <t>Réordonnancement d'une liste selon une clé de tri, avec ou sans liste secondaire liée.</t>
  </si>
  <si>
    <t>Filtrage et suppression (Cull Pattern, Dispatch)</t>
  </si>
  <si>
    <t>Élimination ou séparation d'éléments d'une liste selon un motif booléen répétitif.</t>
  </si>
  <si>
    <t>SetEquality</t>
  </si>
  <si>
    <t>Décalage et permutation (Shift List, Reverse List)</t>
  </si>
  <si>
    <t>Rotation, décalage circulaire et inversion de l'ordre des éléments d'une liste.</t>
  </si>
  <si>
    <t>Valeurs nulles / vides dans une liste</t>
  </si>
  <si>
    <t>Propagation silencieuse des valeurs null à travers les composants et impact sur les calculs en aval.</t>
  </si>
  <si>
    <t>Arbres</t>
  </si>
  <si>
    <t>Branche et chemin (path)</t>
  </si>
  <si>
    <t>Structure d'un arbre de données : notion de branche, de chemin ({0;0;1}) et de correspondance avec une liste imbriquée.</t>
  </si>
  <si>
    <t>Graft et Flatten</t>
  </si>
  <si>
    <t>Transformation d'une structure de données : éclatement d'une liste en branches individuelles (Graft) et aplatissement d'un arbre en une seule liste (Flatten).</t>
  </si>
  <si>
    <t>Simplify et Trim Tree</t>
  </si>
  <si>
    <t>Nettoyage de la structure d'un arbre : suppression des niveaux de branche redondants.</t>
  </si>
  <si>
    <t>Recalcul automatique et ordre d'évaluation</t>
  </si>
  <si>
    <t>Logique de mise à jour du canvas : recalcul en cascade à la modification d'une entrée, notion de dépendance entre composants (conceptuel, à valider via question ciblée plutôt que comparaison de résultat).</t>
  </si>
  <si>
    <t>SingleValue (conceptuel)</t>
  </si>
  <si>
    <t>Outils de texte</t>
  </si>
  <si>
    <t>Concaténation et construction de chaînes</t>
  </si>
  <si>
    <t>Assemblage de plusieurs éléments en une seule chaîne de caractères (Concatenate, Text Join) avec ou sans séparateur.</t>
  </si>
  <si>
    <t>Manipulation de texte</t>
  </si>
  <si>
    <t>Opérations courantes sur une chaîne : découpe (Split), remplacement (Replace), nettoyage (Trim), casse (Upper/Lower).</t>
  </si>
  <si>
    <t>Portes logiques</t>
  </si>
  <si>
    <t>Booléens et comparaisons</t>
  </si>
  <si>
    <t>Production d'une valeur booléenne à partir d'une comparaison (Equality, Larger Than, Smaller Than).</t>
  </si>
  <si>
    <t>Opérateurs logiques combinés</t>
  </si>
  <si>
    <t>Combinaison de plusieurs conditions (And, Or, Not, Logic Gate) pour produire un résultat booléen unique.</t>
  </si>
  <si>
    <t>Structure conditionnelle</t>
  </si>
  <si>
    <t>Utilisation d'une condition pour orienter un résultat ou filtrer une liste (If, Stream Filter, Dispatch piloté par condition).</t>
  </si>
  <si>
    <t>Légende ValidationMode :</t>
  </si>
  <si>
    <t>ExactOrderedList — ordre des éléments compte</t>
  </si>
  <si>
    <t>SetEquality — ordre indifférent, ensemble attendu</t>
  </si>
  <si>
    <t>SingleValue — une valeur unique attendue</t>
  </si>
  <si>
    <t>NumericTolerance — valeur numérique avec marge d'erreur</t>
  </si>
  <si>
    <t>GeometryTolerance — comparaison géométrique avec tolérance</t>
  </si>
  <si>
    <t>Nb Notions</t>
  </si>
  <si>
    <t>Mode de validation</t>
  </si>
  <si>
    <t>Nb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</si>
</sst>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i/>
      <color theme="1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DCE6F1"/>
        <bgColor rgb="FFDCE6F1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2F5496"/>
        <bgColor rgb="FF2F549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1" fillId="2" fontId="3" numFmtId="0" xfId="0" applyAlignment="1" applyBorder="1" applyFill="1" applyFont="1">
      <alignment horizontal="left" readingOrder="0" shrinkToFit="0" vertical="top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1" fillId="3" fontId="3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ill="1" applyFont="1">
      <alignment horizontal="left" readingOrder="0" shrinkToFit="0" vertical="top" wrapText="0"/>
    </xf>
    <xf borderId="1" fillId="3" fontId="3" numFmtId="0" xfId="0" applyAlignment="1" applyBorder="1" applyFill="1" applyFont="1">
      <alignment horizontal="left" readingOrder="0" shrinkToFit="0" vertical="top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readingOrder="0" shrinkToFit="0" vertical="center" wrapText="0"/>
    </xf>
    <xf borderId="1" fillId="4" fontId="1" numFmtId="0" xfId="0" applyAlignment="1" applyBorder="1" applyFill="1" applyFont="1">
      <alignment horizontal="left" readingOrder="0" shrinkToFit="0" vertical="top" wrapText="0"/>
    </xf>
    <xf borderId="1" fillId="4" fontId="3" numFmtId="0" xfId="0" applyAlignment="1" applyBorder="1" applyFill="1" applyFont="1">
      <alignment horizontal="left" readingOrder="0" shrinkToFit="0" vertical="top" wrapText="0"/>
    </xf>
    <xf borderId="1" fillId="4" fontId="3" numFmtId="0" xfId="0" applyAlignment="1" applyBorder="1" applyFill="1" applyFont="1">
      <alignment horizontal="center" readingOrder="0" shrinkToFit="0" vertical="center" wrapText="0"/>
    </xf>
    <xf borderId="0" fillId="4" fontId="3" numFmtId="0" xfId="0" applyAlignment="1" applyFill="1" applyFont="1">
      <alignment horizontal="center" readingOrder="0" shrinkToFit="0" vertical="center" wrapText="0"/>
    </xf>
    <xf borderId="1" fillId="5" fontId="3" numFmtId="0" xfId="0" applyAlignment="1" applyBorder="1" applyFill="1" applyFont="1">
      <alignment readingOrder="0" shrinkToFit="0" vertical="center" wrapText="0"/>
    </xf>
    <xf borderId="1" fillId="5" fontId="1" numFmtId="0" xfId="0" applyAlignment="1" applyBorder="1" applyFill="1" applyFont="1">
      <alignment horizontal="left" readingOrder="0" shrinkToFit="0" vertical="top" wrapText="0"/>
    </xf>
    <xf borderId="1" fillId="5" fontId="3" numFmtId="0" xfId="0" applyAlignment="1" applyBorder="1" applyFill="1" applyFont="1">
      <alignment horizontal="left" readingOrder="0" shrinkToFit="0" vertical="top" wrapText="0"/>
    </xf>
    <xf borderId="1" fillId="5" fontId="3" numFmtId="0" xfId="0" applyAlignment="1" applyBorder="1" applyFill="1" applyFont="1">
      <alignment horizontal="center" readingOrder="0" shrinkToFit="0" vertical="center" wrapText="0"/>
    </xf>
    <xf borderId="0" fillId="5" fontId="3" numFmtId="0" xfId="0" applyAlignment="1" applyFill="1" applyFont="1">
      <alignment horizontal="center" readingOrder="0" shrinkToFit="0" vertical="center" wrapText="0"/>
    </xf>
    <xf borderId="1" fillId="6" fontId="3" numFmtId="0" xfId="0" applyAlignment="1" applyBorder="1" applyFill="1" applyFont="1">
      <alignment readingOrder="0" shrinkToFit="0" vertical="center" wrapText="0"/>
    </xf>
    <xf borderId="1" fillId="6" fontId="1" numFmtId="0" xfId="0" applyAlignment="1" applyBorder="1" applyFill="1" applyFont="1">
      <alignment horizontal="left" readingOrder="0" shrinkToFit="0" vertical="top" wrapText="0"/>
    </xf>
    <xf borderId="1" fillId="6" fontId="3" numFmtId="0" xfId="0" applyAlignment="1" applyBorder="1" applyFill="1" applyFont="1">
      <alignment horizontal="left" readingOrder="0" shrinkToFit="0" vertical="top" wrapText="0"/>
    </xf>
    <xf borderId="1" fillId="6" fontId="3" numFmtId="0" xfId="0" applyAlignment="1" applyBorder="1" applyFill="1" applyFont="1">
      <alignment horizontal="center" readingOrder="0" shrinkToFit="0" vertical="center" wrapText="0"/>
    </xf>
    <xf borderId="0" fillId="6" fontId="3" numFmtId="0" xfId="0" applyAlignment="1" applyFill="1" applyFont="1">
      <alignment horizontal="center" readingOrder="0" shrinkToFit="0" vertical="center" wrapText="0"/>
    </xf>
    <xf borderId="1" fillId="7" fontId="3" numFmtId="0" xfId="0" applyAlignment="1" applyBorder="1" applyFill="1" applyFont="1">
      <alignment readingOrder="0" shrinkToFit="0" vertical="center" wrapText="0"/>
    </xf>
    <xf borderId="1" fillId="7" fontId="1" numFmtId="0" xfId="0" applyAlignment="1" applyBorder="1" applyFill="1" applyFont="1">
      <alignment horizontal="left" readingOrder="0" shrinkToFit="0" vertical="top" wrapText="0"/>
    </xf>
    <xf borderId="1" fillId="7" fontId="3" numFmtId="0" xfId="0" applyAlignment="1" applyBorder="1" applyFill="1" applyFont="1">
      <alignment horizontal="left" readingOrder="0" shrinkToFit="0" vertical="top" wrapText="0"/>
    </xf>
    <xf borderId="1" fillId="7" fontId="3" numFmtId="0" xfId="0" applyAlignment="1" applyBorder="1" applyFill="1" applyFont="1">
      <alignment horizontal="center" readingOrder="0" shrinkToFit="0" vertical="center" wrapText="0"/>
    </xf>
    <xf borderId="0" fillId="7" fontId="3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1" fillId="8" fontId="5" numFmtId="0" xfId="0" applyAlignment="1" applyBorder="1" applyFill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0" displayName="Tableau1" name="Tableau1" id="1">
  <tableColumns count="8">
    <tableColumn name="Ordre de dépendence" id="1"/>
    <tableColumn name="Catégorie" id="2"/>
    <tableColumn name="Notion" id="3"/>
    <tableColumn name="Description" id="4"/>
    <tableColumn name="ValidationMode suggéré" id="5"/>
    <tableColumn name="A réaliser par" id="6"/>
    <tableColumn name="Statut" id="7"/>
    <tableColumn name="Lien" id="8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75"/>
    <col customWidth="1" min="2" max="2" width="23.13"/>
    <col customWidth="1" min="3" max="3" width="37.63"/>
    <col customWidth="1" min="4" max="4" width="154.13"/>
    <col customWidth="1" min="5" max="5" width="24.63"/>
    <col customWidth="1" min="6" max="7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>
        <v>1.0</v>
      </c>
      <c r="B2" s="4" t="s">
        <v>8</v>
      </c>
      <c r="C2" s="4" t="s">
        <v>9</v>
      </c>
      <c r="D2" s="5" t="s">
        <v>10</v>
      </c>
      <c r="E2" s="6" t="s">
        <v>11</v>
      </c>
      <c r="F2" s="7"/>
      <c r="G2" s="7"/>
      <c r="H2" s="7"/>
    </row>
    <row r="3" ht="22.5" customHeight="1">
      <c r="A3" s="3">
        <v>2.0</v>
      </c>
      <c r="B3" s="4" t="s">
        <v>8</v>
      </c>
      <c r="C3" s="4" t="s">
        <v>12</v>
      </c>
      <c r="D3" s="5" t="s">
        <v>13</v>
      </c>
      <c r="E3" s="6" t="s">
        <v>11</v>
      </c>
      <c r="F3" s="7"/>
      <c r="G3" s="7"/>
      <c r="H3" s="7"/>
    </row>
    <row r="4" ht="22.5" customHeight="1">
      <c r="A4" s="8">
        <v>3.0</v>
      </c>
      <c r="B4" s="9" t="s">
        <v>14</v>
      </c>
      <c r="C4" s="9" t="s">
        <v>15</v>
      </c>
      <c r="D4" s="10" t="s">
        <v>16</v>
      </c>
      <c r="E4" s="11" t="s">
        <v>11</v>
      </c>
      <c r="F4" s="12"/>
      <c r="G4" s="12"/>
      <c r="H4" s="12"/>
    </row>
    <row r="5" ht="22.5" customHeight="1">
      <c r="A5" s="8">
        <v>4.0</v>
      </c>
      <c r="B5" s="9" t="s">
        <v>14</v>
      </c>
      <c r="C5" s="9" t="s">
        <v>17</v>
      </c>
      <c r="D5" s="10" t="s">
        <v>18</v>
      </c>
      <c r="E5" s="11" t="s">
        <v>19</v>
      </c>
      <c r="F5" s="12"/>
      <c r="G5" s="12"/>
      <c r="H5" s="12"/>
    </row>
    <row r="6" ht="22.5" customHeight="1">
      <c r="A6" s="13">
        <v>5.0</v>
      </c>
      <c r="B6" s="14" t="s">
        <v>20</v>
      </c>
      <c r="C6" s="14" t="s">
        <v>21</v>
      </c>
      <c r="D6" s="15" t="s">
        <v>22</v>
      </c>
      <c r="E6" s="16" t="s">
        <v>19</v>
      </c>
      <c r="F6" s="17"/>
      <c r="G6" s="17"/>
      <c r="H6" s="17"/>
    </row>
    <row r="7" ht="22.5" customHeight="1">
      <c r="A7" s="13">
        <v>6.0</v>
      </c>
      <c r="B7" s="14" t="s">
        <v>20</v>
      </c>
      <c r="C7" s="14" t="s">
        <v>23</v>
      </c>
      <c r="D7" s="15" t="s">
        <v>24</v>
      </c>
      <c r="E7" s="16" t="s">
        <v>19</v>
      </c>
      <c r="F7" s="17"/>
      <c r="G7" s="17"/>
      <c r="H7" s="17"/>
    </row>
    <row r="8" ht="22.5" customHeight="1">
      <c r="A8" s="8">
        <v>7.0</v>
      </c>
      <c r="B8" s="9" t="s">
        <v>14</v>
      </c>
      <c r="C8" s="9" t="s">
        <v>25</v>
      </c>
      <c r="D8" s="10" t="s">
        <v>26</v>
      </c>
      <c r="E8" s="11" t="s">
        <v>19</v>
      </c>
      <c r="F8" s="12"/>
      <c r="G8" s="12"/>
      <c r="H8" s="12"/>
    </row>
    <row r="9" ht="22.5" customHeight="1">
      <c r="A9" s="8">
        <v>8.0</v>
      </c>
      <c r="B9" s="9" t="s">
        <v>14</v>
      </c>
      <c r="C9" s="9" t="s">
        <v>27</v>
      </c>
      <c r="D9" s="10" t="s">
        <v>28</v>
      </c>
      <c r="E9" s="11" t="s">
        <v>29</v>
      </c>
      <c r="F9" s="12"/>
      <c r="G9" s="12"/>
      <c r="H9" s="12"/>
    </row>
    <row r="10" ht="22.5" customHeight="1">
      <c r="A10" s="8">
        <v>9.0</v>
      </c>
      <c r="B10" s="9" t="s">
        <v>14</v>
      </c>
      <c r="C10" s="9" t="s">
        <v>30</v>
      </c>
      <c r="D10" s="10" t="s">
        <v>31</v>
      </c>
      <c r="E10" s="11" t="s">
        <v>19</v>
      </c>
      <c r="F10" s="12"/>
      <c r="G10" s="12"/>
      <c r="H10" s="12"/>
    </row>
    <row r="11" ht="22.5" customHeight="1">
      <c r="A11" s="13">
        <v>10.0</v>
      </c>
      <c r="B11" s="14" t="s">
        <v>20</v>
      </c>
      <c r="C11" s="14" t="s">
        <v>32</v>
      </c>
      <c r="D11" s="15" t="s">
        <v>33</v>
      </c>
      <c r="E11" s="16" t="s">
        <v>29</v>
      </c>
      <c r="F11" s="17"/>
      <c r="G11" s="17"/>
      <c r="H11" s="17"/>
    </row>
    <row r="12" ht="22.5" customHeight="1">
      <c r="A12" s="18">
        <v>11.0</v>
      </c>
      <c r="B12" s="19" t="s">
        <v>34</v>
      </c>
      <c r="C12" s="19" t="s">
        <v>35</v>
      </c>
      <c r="D12" s="20" t="s">
        <v>36</v>
      </c>
      <c r="E12" s="21" t="s">
        <v>11</v>
      </c>
      <c r="F12" s="22"/>
      <c r="G12" s="22"/>
      <c r="H12" s="22"/>
    </row>
    <row r="13" ht="22.5" customHeight="1">
      <c r="A13" s="18">
        <v>12.0</v>
      </c>
      <c r="B13" s="19" t="s">
        <v>34</v>
      </c>
      <c r="C13" s="19" t="s">
        <v>37</v>
      </c>
      <c r="D13" s="20" t="s">
        <v>38</v>
      </c>
      <c r="E13" s="21" t="s">
        <v>29</v>
      </c>
      <c r="F13" s="22"/>
      <c r="G13" s="22"/>
      <c r="H13" s="22"/>
    </row>
    <row r="14" ht="22.5" customHeight="1">
      <c r="A14" s="18">
        <v>13.0</v>
      </c>
      <c r="B14" s="19" t="s">
        <v>34</v>
      </c>
      <c r="C14" s="19" t="s">
        <v>39</v>
      </c>
      <c r="D14" s="20" t="s">
        <v>40</v>
      </c>
      <c r="E14" s="21" t="s">
        <v>29</v>
      </c>
      <c r="F14" s="22"/>
      <c r="G14" s="22"/>
      <c r="H14" s="22"/>
    </row>
    <row r="15" ht="22.5" customHeight="1">
      <c r="A15" s="13">
        <v>14.0</v>
      </c>
      <c r="B15" s="14" t="s">
        <v>20</v>
      </c>
      <c r="C15" s="14" t="s">
        <v>41</v>
      </c>
      <c r="D15" s="15" t="s">
        <v>42</v>
      </c>
      <c r="E15" s="16" t="s">
        <v>43</v>
      </c>
      <c r="F15" s="17"/>
      <c r="G15" s="17"/>
      <c r="H15" s="17"/>
    </row>
    <row r="16" ht="22.5" customHeight="1">
      <c r="A16" s="23">
        <v>15.0</v>
      </c>
      <c r="B16" s="24" t="s">
        <v>44</v>
      </c>
      <c r="C16" s="24" t="s">
        <v>45</v>
      </c>
      <c r="D16" s="25" t="s">
        <v>46</v>
      </c>
      <c r="E16" s="26" t="s">
        <v>11</v>
      </c>
      <c r="F16" s="27"/>
      <c r="G16" s="27"/>
      <c r="H16" s="27"/>
    </row>
    <row r="17" ht="22.5" customHeight="1">
      <c r="A17" s="23">
        <v>16.0</v>
      </c>
      <c r="B17" s="24" t="s">
        <v>44</v>
      </c>
      <c r="C17" s="24" t="s">
        <v>47</v>
      </c>
      <c r="D17" s="25" t="s">
        <v>48</v>
      </c>
      <c r="E17" s="26" t="s">
        <v>11</v>
      </c>
      <c r="F17" s="27"/>
      <c r="G17" s="27"/>
      <c r="H17" s="27"/>
    </row>
    <row r="18" ht="22.5" customHeight="1">
      <c r="A18" s="28">
        <v>17.0</v>
      </c>
      <c r="B18" s="29" t="s">
        <v>49</v>
      </c>
      <c r="C18" s="29" t="s">
        <v>50</v>
      </c>
      <c r="D18" s="30" t="s">
        <v>51</v>
      </c>
      <c r="E18" s="31" t="s">
        <v>11</v>
      </c>
      <c r="F18" s="32"/>
      <c r="G18" s="32"/>
      <c r="H18" s="32"/>
    </row>
    <row r="19" ht="22.5" customHeight="1">
      <c r="A19" s="28">
        <v>18.0</v>
      </c>
      <c r="B19" s="29" t="s">
        <v>49</v>
      </c>
      <c r="C19" s="29" t="s">
        <v>52</v>
      </c>
      <c r="D19" s="30" t="s">
        <v>53</v>
      </c>
      <c r="E19" s="31" t="s">
        <v>11</v>
      </c>
      <c r="F19" s="32"/>
      <c r="G19" s="32"/>
      <c r="H19" s="32"/>
    </row>
    <row r="20" ht="22.5" customHeight="1">
      <c r="A20" s="28">
        <v>19.0</v>
      </c>
      <c r="B20" s="29" t="s">
        <v>49</v>
      </c>
      <c r="C20" s="29" t="s">
        <v>54</v>
      </c>
      <c r="D20" s="30" t="s">
        <v>55</v>
      </c>
      <c r="E20" s="31" t="s">
        <v>29</v>
      </c>
      <c r="F20" s="32"/>
      <c r="G20" s="32"/>
      <c r="H20" s="32"/>
    </row>
    <row r="21">
      <c r="A21" s="33"/>
      <c r="B21" s="33"/>
      <c r="C21" s="33"/>
      <c r="D21" s="33"/>
      <c r="E21" s="33"/>
      <c r="F21" s="33"/>
      <c r="G21" s="33"/>
    </row>
    <row r="22">
      <c r="A22" s="34" t="s">
        <v>56</v>
      </c>
      <c r="B22" s="33"/>
      <c r="C22" s="33"/>
      <c r="D22" s="33"/>
      <c r="E22" s="33"/>
      <c r="F22" s="33"/>
      <c r="G22" s="33"/>
    </row>
    <row r="23">
      <c r="A23" s="35" t="s">
        <v>57</v>
      </c>
      <c r="D23" s="33"/>
      <c r="E23" s="33"/>
      <c r="F23" s="33"/>
      <c r="G23" s="33"/>
    </row>
    <row r="24">
      <c r="A24" s="35" t="s">
        <v>58</v>
      </c>
      <c r="D24" s="33"/>
      <c r="E24" s="33"/>
      <c r="F24" s="33"/>
      <c r="G24" s="33"/>
    </row>
    <row r="25">
      <c r="A25" s="35" t="s">
        <v>59</v>
      </c>
      <c r="D25" s="33"/>
      <c r="E25" s="33"/>
      <c r="F25" s="33"/>
      <c r="G25" s="33"/>
    </row>
    <row r="26">
      <c r="A26" s="35" t="s">
        <v>60</v>
      </c>
      <c r="D26" s="33"/>
      <c r="E26" s="33"/>
      <c r="F26" s="33"/>
      <c r="G26" s="33"/>
    </row>
    <row r="27">
      <c r="A27" s="35" t="s">
        <v>61</v>
      </c>
      <c r="D27" s="33"/>
      <c r="E27" s="33"/>
      <c r="F27" s="33"/>
      <c r="G27" s="33"/>
    </row>
    <row r="31">
      <c r="A31" s="36" t="s">
        <v>1</v>
      </c>
      <c r="B31" s="36" t="s">
        <v>62</v>
      </c>
    </row>
    <row r="32">
      <c r="A32" s="37" t="str">
        <f t="array" ref="A32:A37">UNIQUE(B2:B20)</f>
        <v>Types</v>
      </c>
      <c r="B32" s="37">
        <f t="shared" ref="B32:B37" si="1">COUNTIF(B2:B20,A32)</f>
        <v>2</v>
      </c>
    </row>
    <row r="33">
      <c r="A33" s="37" t="s">
        <v>14</v>
      </c>
      <c r="B33" s="37">
        <f t="shared" si="1"/>
        <v>5</v>
      </c>
    </row>
    <row r="34">
      <c r="A34" s="37" t="s">
        <v>20</v>
      </c>
      <c r="B34" s="37">
        <f t="shared" si="1"/>
        <v>4</v>
      </c>
    </row>
    <row r="35">
      <c r="A35" s="37" t="s">
        <v>34</v>
      </c>
      <c r="B35" s="37">
        <f t="shared" si="1"/>
        <v>3</v>
      </c>
    </row>
    <row r="36">
      <c r="A36" s="37" t="s">
        <v>44</v>
      </c>
      <c r="B36" s="37">
        <f t="shared" si="1"/>
        <v>2</v>
      </c>
    </row>
    <row r="37">
      <c r="A37" s="37" t="s">
        <v>49</v>
      </c>
      <c r="B37" s="37">
        <f t="shared" si="1"/>
        <v>3</v>
      </c>
    </row>
    <row r="39">
      <c r="A39" s="36" t="s">
        <v>63</v>
      </c>
      <c r="B39" s="36" t="s">
        <v>64</v>
      </c>
    </row>
    <row r="40">
      <c r="A40" s="37" t="str">
        <f t="array" ref="A40:A43">UNIQUE(E2:E20)</f>
        <v>SingleValue</v>
      </c>
      <c r="B40" s="37">
        <f t="shared" ref="B40:B43" si="2">COUNTIF(E2:E20,A40)</f>
        <v>8</v>
      </c>
    </row>
    <row r="41">
      <c r="A41" s="37" t="s">
        <v>19</v>
      </c>
      <c r="B41" s="37">
        <f t="shared" si="2"/>
        <v>5</v>
      </c>
    </row>
    <row r="42">
      <c r="A42" s="37" t="s">
        <v>29</v>
      </c>
      <c r="B42" s="37">
        <f t="shared" si="2"/>
        <v>5</v>
      </c>
    </row>
    <row r="43">
      <c r="A43" s="37" t="s">
        <v>43</v>
      </c>
      <c r="B43" s="37">
        <f t="shared" si="2"/>
        <v>1</v>
      </c>
    </row>
  </sheetData>
  <mergeCells count="5">
    <mergeCell ref="A23:C23"/>
    <mergeCell ref="A24:C24"/>
    <mergeCell ref="A25:C25"/>
    <mergeCell ref="A26:C26"/>
    <mergeCell ref="A27:C27"/>
  </mergeCells>
  <dataValidations>
    <dataValidation type="custom" allowBlank="1" showDropDown="1" sqref="A2:A2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