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 des tâches" sheetId="1" r:id="rId5"/>
    <sheet state="visible" name="DeadLines" sheetId="2" r:id="rId6"/>
    <sheet state="visible" name="Tableau de bord" sheetId="3" r:id="rId7"/>
    <sheet state="hidden" name="Listes" sheetId="4" r:id="rId8"/>
  </sheets>
  <definedNames/>
  <calcPr/>
</workbook>
</file>

<file path=xl/sharedStrings.xml><?xml version="1.0" encoding="utf-8"?>
<sst xmlns="http://schemas.openxmlformats.org/spreadsheetml/2006/main" count="174" uniqueCount="81">
  <si>
    <t>Lots</t>
  </si>
  <si>
    <t>Nombre total de taches</t>
  </si>
  <si>
    <t>Identité visuelle et interface</t>
  </si>
  <si>
    <t>Contenu Pedagogique</t>
  </si>
  <si>
    <t>Document de Certification</t>
  </si>
  <si>
    <t>Environnement utilisateur</t>
  </si>
  <si>
    <t>Logique(s)</t>
  </si>
  <si>
    <t>TESTS</t>
  </si>
  <si>
    <t>Taches terminees</t>
  </si>
  <si>
    <t>Taches en cours</t>
  </si>
  <si>
    <t>Jalon</t>
  </si>
  <si>
    <t>Editeur :</t>
  </si>
  <si>
    <t>Rhinoforyou</t>
  </si>
  <si>
    <t>Taches a faire</t>
  </si>
  <si>
    <t>État</t>
  </si>
  <si>
    <t>Auteur :</t>
  </si>
  <si>
    <t>Carolus Jérémy</t>
  </si>
  <si>
    <t>Contributeur</t>
  </si>
  <si>
    <t>Date prévue</t>
  </si>
  <si>
    <t>Taches bloquees</t>
  </si>
  <si>
    <t>Date réelle</t>
  </si>
  <si>
    <t>ID</t>
  </si>
  <si>
    <t>Notes</t>
  </si>
  <si>
    <t>Lot</t>
  </si>
  <si>
    <t>Avancement global du projet</t>
  </si>
  <si>
    <t>Tâche</t>
  </si>
  <si>
    <t>Validation du cahier des charges</t>
  </si>
  <si>
    <t>Priorité</t>
  </si>
  <si>
    <t>Terminé</t>
  </si>
  <si>
    <t>Propriétaire</t>
  </si>
  <si>
    <t>Etat</t>
  </si>
  <si>
    <t>Date de début</t>
  </si>
  <si>
    <t>Date de fin</t>
  </si>
  <si>
    <t>Avancement (%)</t>
  </si>
  <si>
    <t>Nombre de jalons</t>
  </si>
  <si>
    <t>Trame de suivi validée</t>
  </si>
  <si>
    <t>Diffusion de la V1</t>
  </si>
  <si>
    <t>Definir les fondamentaux de Grasshopper pour proposer des exercices adaptés</t>
  </si>
  <si>
    <t>A venir</t>
  </si>
  <si>
    <t>P0</t>
  </si>
  <si>
    <t>j.carolus@rhinoforyou.com</t>
  </si>
  <si>
    <t>Présentation aux formateurs</t>
  </si>
  <si>
    <t>En cours</t>
  </si>
  <si>
    <t>Version Alpha -- présentation concept</t>
  </si>
  <si>
    <r>
      <rPr/>
      <t xml:space="preserve">Cf : </t>
    </r>
    <r>
      <rPr>
        <color rgb="FF1155CC"/>
        <u/>
      </rPr>
      <t>https://docs.google.com/spreadsheets/d/17x8hmCRLgvZoXrfncC1v5Dfiv-eCjOZpd4dI1brDZlA/edit?gid=0#gid=0</t>
    </r>
  </si>
  <si>
    <t>Faire apparaitre le logo Rhino4You sur le canvas</t>
  </si>
  <si>
    <t>Pas commencé</t>
  </si>
  <si>
    <t>Arbitrage a faire : watermark de fond vs composant dedié</t>
  </si>
  <si>
    <t>Rediger un guide d'installation et d'usage (apprenant)</t>
  </si>
  <si>
    <t>P1</t>
  </si>
  <si>
    <t>Guide formateur/admin prevu pour la V2</t>
  </si>
  <si>
    <t>Tests techniques (composants, rendu canvas, sauvegarde/chargement JSON)</t>
  </si>
  <si>
    <t>Tests pedagogiques (parcours de bout en bout, 4 modes de validation)</t>
  </si>
  <si>
    <t>Tests pedagogiques - exercices avec plusieurs composants Grasshopper pre-integres</t>
  </si>
  <si>
    <t>Tests du certificat (generation, champs dynamiques, export PDF)</t>
  </si>
  <si>
    <t>Tests d'installation (poste vierge, guide suivi a la lettre)</t>
  </si>
  <si>
    <t>Bloqué</t>
  </si>
  <si>
    <t>Tests de compatibilite - Mac</t>
  </si>
  <si>
    <t>Tests de compatibilite - versions Rhino / Grasshopper visees</t>
  </si>
  <si>
    <t>Construire le template de certificat (logo, infos, ...)</t>
  </si>
  <si>
    <t>Existe-t-il un document référence chez R4Y ?</t>
  </si>
  <si>
    <t>Supprimer le bouton précédent une fois le parcours terminé ou corriger le retour (-2 au lieu de -1)</t>
  </si>
  <si>
    <t>Carolus Jérémy
Jacques Hababou</t>
  </si>
  <si>
    <t>Travailler l'aspect visuel des boutons Suivant/Precedent</t>
  </si>
  <si>
    <t>P2</t>
  </si>
  <si>
    <t>Agrandir les boutons</t>
  </si>
  <si>
    <t>Ajouter un bouton Valider (bloquer Suivant tant qu'aucune proposition soumise)</t>
  </si>
  <si>
    <t>Assurer un export unique des resultats en fin de parcours</t>
  </si>
  <si>
    <t>Implementer la generation de documents de sortie (mise en plan Rhino) -&gt; certificat</t>
  </si>
  <si>
    <t>Mention basee sur les metriques : a requestionner ulterieurement, hors perimetre V1</t>
  </si>
  <si>
    <t>Verifier et consolider les metriques de validation (nb composants, duree...)</t>
  </si>
  <si>
    <t>Ajouter un élément de visualition des stats de réussite et autre en mode Admin pour débug</t>
  </si>
  <si>
    <t>Bouton de refresh de l'exercice</t>
  </si>
  <si>
    <t>Intégrer l'ajout d'un ou plusieurs composants de départ pour les exercices définis lors de la création de l'exercice</t>
  </si>
  <si>
    <t>Jacques Hababou
Carolus Jérémy</t>
  </si>
  <si>
    <t>Emulation grasshopper en ligne, maquette sur site web</t>
  </si>
  <si>
    <t>Jacques HABABOU</t>
  </si>
  <si>
    <t>Rhino Compute permet de résoudre des définition grasshopper en ligne mais pas de les visualiser ni de les modifier</t>
  </si>
  <si>
    <t>dépot INPI</t>
  </si>
  <si>
    <t>Définition d'un contrat de collaboration</t>
  </si>
  <si>
    <t>Ouverture à des tiers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</si>
</sst>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1F3864"/>
      <name val="Arial"/>
    </font>
    <font>
      <b/>
      <sz val="18.0"/>
      <color theme="1"/>
      <name val="Arial"/>
      <scheme val="minor"/>
    </font>
    <font>
      <u/>
      <color theme="1"/>
      <name val="Arial"/>
    </font>
    <font>
      <u/>
      <color rgb="FF0000FF"/>
      <name val="Roboto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9" xfId="0" applyAlignment="1" applyBorder="1" applyFont="1" applyNumberFormat="1">
      <alignment horizontal="center" readingOrder="0" vertical="bottom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Suivi des tâch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DeadLines-style">
      <tableStyleElement dxfId="1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38100</xdr:rowOff>
    </xdr:from>
    <xdr:ext cx="1685925" cy="1685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68" displayName="Tâches_d_un_projet" name="Tâches_d_un_projet" id="2">
  <tableColumns count="11">
    <tableColumn name="Contributeur" id="1"/>
    <tableColumn name="ID" id="2"/>
    <tableColumn name="Lot" id="3"/>
    <tableColumn name="Tâche" id="4"/>
    <tableColumn name="Priorité" id="5"/>
    <tableColumn name="Propriétaire" id="6"/>
    <tableColumn name="Etat" id="7"/>
    <tableColumn name="Date de début" id="8"/>
    <tableColumn name="Date de fin" id="9"/>
    <tableColumn name="Avancement (%)" id="10"/>
    <tableColumn name="Notes" id="11"/>
  </tableColumns>
  <tableStyleInfo name="Suivi des tâches-style" showColumnStripes="0" showFirstColumn="1" showLastColumn="1" showRowStripes="1"/>
</table>
</file>

<file path=xl/tables/table2.xml><?xml version="1.0" encoding="utf-8"?>
<table xmlns="http://schemas.openxmlformats.org/spreadsheetml/2006/main" ref="A1:E15" displayName="Tâches_liées_à_un_événement" name="Tâches_liées_à_un_événement" id="1">
  <tableColumns count="5">
    <tableColumn name="Jalon" id="1"/>
    <tableColumn name="État" id="2"/>
    <tableColumn name="Date prévue" id="3"/>
    <tableColumn name="Date réelle" id="4"/>
    <tableColumn name="Notes" id="5"/>
  </tableColumns>
  <tableStyleInfo name="DeadLi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j.carolus@rhinoforyou.com" TargetMode="External"/><Relationship Id="rId11" Type="http://schemas.openxmlformats.org/officeDocument/2006/relationships/hyperlink" Target="mailto:j.carolus@rhinoforyou.com" TargetMode="External"/><Relationship Id="rId22" Type="http://schemas.openxmlformats.org/officeDocument/2006/relationships/hyperlink" Target="mailto:j.hababou@rhinoforyou.com" TargetMode="External"/><Relationship Id="rId10" Type="http://schemas.openxmlformats.org/officeDocument/2006/relationships/hyperlink" Target="mailto:j.carolus@rhinoforyou.com" TargetMode="External"/><Relationship Id="rId21" Type="http://schemas.openxmlformats.org/officeDocument/2006/relationships/hyperlink" Target="mailto:j.carolus@rhinoforyou.com" TargetMode="External"/><Relationship Id="rId13" Type="http://schemas.openxmlformats.org/officeDocument/2006/relationships/hyperlink" Target="mailto:j.carolus@rhinoforyou.com" TargetMode="External"/><Relationship Id="rId12" Type="http://schemas.openxmlformats.org/officeDocument/2006/relationships/hyperlink" Target="mailto:j.carolus@rhinoforyou.com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mailto:j.carolus@rhinoforyou.com" TargetMode="External"/><Relationship Id="rId2" Type="http://schemas.openxmlformats.org/officeDocument/2006/relationships/hyperlink" Target="https://docs.google.com/spreadsheets/d/17x8hmCRLgvZoXrfncC1v5Dfiv-eCjOZpd4dI1brDZlA/edit?gid=0" TargetMode="External"/><Relationship Id="rId3" Type="http://schemas.openxmlformats.org/officeDocument/2006/relationships/hyperlink" Target="mailto:j.carolus@rhinoforyou.com" TargetMode="External"/><Relationship Id="rId4" Type="http://schemas.openxmlformats.org/officeDocument/2006/relationships/hyperlink" Target="mailto:j.carolus@rhinoforyou.com" TargetMode="External"/><Relationship Id="rId9" Type="http://schemas.openxmlformats.org/officeDocument/2006/relationships/hyperlink" Target="mailto:j.carolus@rhinoforyou.com" TargetMode="External"/><Relationship Id="rId15" Type="http://schemas.openxmlformats.org/officeDocument/2006/relationships/hyperlink" Target="mailto:j.carolus@rhinoforyou.com" TargetMode="External"/><Relationship Id="rId14" Type="http://schemas.openxmlformats.org/officeDocument/2006/relationships/hyperlink" Target="mailto:j.carolus@rhinoforyou.com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mailto:j.carolus@rhinoforyou.com" TargetMode="External"/><Relationship Id="rId16" Type="http://schemas.openxmlformats.org/officeDocument/2006/relationships/hyperlink" Target="mailto:j.carolus@rhinoforyou.com" TargetMode="External"/><Relationship Id="rId5" Type="http://schemas.openxmlformats.org/officeDocument/2006/relationships/hyperlink" Target="mailto:j.carolus@rhinoforyou.com" TargetMode="External"/><Relationship Id="rId19" Type="http://schemas.openxmlformats.org/officeDocument/2006/relationships/hyperlink" Target="mailto:j.carolus@rhinoforyou.com" TargetMode="External"/><Relationship Id="rId6" Type="http://schemas.openxmlformats.org/officeDocument/2006/relationships/hyperlink" Target="mailto:j.carolus@rhinoforyou.com" TargetMode="External"/><Relationship Id="rId18" Type="http://schemas.openxmlformats.org/officeDocument/2006/relationships/hyperlink" Target="mailto:j.carolus@rhinoforyou.com" TargetMode="External"/><Relationship Id="rId7" Type="http://schemas.openxmlformats.org/officeDocument/2006/relationships/hyperlink" Target="mailto:j.carolus@rhinoforyou.com" TargetMode="External"/><Relationship Id="rId8" Type="http://schemas.openxmlformats.org/officeDocument/2006/relationships/hyperlink" Target="mailto:j.carolus@rhinoforyou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5"/>
    <col customWidth="1" min="2" max="2" width="7.38"/>
    <col customWidth="1" min="3" max="3" width="26.13"/>
    <col customWidth="1" min="4" max="4" width="67.38"/>
    <col customWidth="1" min="5" max="5" width="15.13"/>
    <col customWidth="1" min="6" max="6" width="25.5"/>
    <col customWidth="1" min="7" max="7" width="15.13"/>
    <col customWidth="1" min="8" max="9" width="20.13"/>
    <col customWidth="1" min="10" max="10" width="20.75"/>
    <col customWidth="1" min="11" max="11" width="64.63"/>
  </cols>
  <sheetData>
    <row r="1" ht="139.5" customHeight="1">
      <c r="A1" s="4"/>
      <c r="B1" s="4"/>
      <c r="C1" s="5" t="s">
        <v>11</v>
      </c>
      <c r="D1" s="5" t="s">
        <v>12</v>
      </c>
      <c r="E1" s="4"/>
      <c r="G1" s="4"/>
      <c r="H1" s="4"/>
      <c r="I1" s="4"/>
      <c r="J1" s="4"/>
      <c r="K1" s="4"/>
    </row>
    <row r="2">
      <c r="A2" s="4"/>
      <c r="B2" s="4"/>
      <c r="C2" s="5" t="s">
        <v>15</v>
      </c>
      <c r="D2" s="5" t="s">
        <v>16</v>
      </c>
      <c r="E2" s="4"/>
      <c r="G2" s="4"/>
      <c r="H2" s="4"/>
      <c r="I2" s="4"/>
      <c r="J2" s="4"/>
      <c r="K2" s="4"/>
    </row>
    <row r="3" ht="22.5" customHeight="1">
      <c r="A3" s="6" t="s">
        <v>17</v>
      </c>
      <c r="B3" s="6" t="s">
        <v>21</v>
      </c>
      <c r="C3" s="6" t="s">
        <v>23</v>
      </c>
      <c r="D3" s="6" t="s">
        <v>25</v>
      </c>
      <c r="E3" s="6" t="s">
        <v>27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22</v>
      </c>
    </row>
    <row r="4" ht="29.25" customHeight="1">
      <c r="A4" s="11" t="s">
        <v>16</v>
      </c>
      <c r="B4" s="12">
        <f t="shared" ref="B4:B68" si="1">IF(NOT(ISBLANK(C4)),ROW(B4)-1,"")</f>
        <v>3</v>
      </c>
      <c r="C4" s="13" t="s">
        <v>3</v>
      </c>
      <c r="D4" s="14" t="s">
        <v>37</v>
      </c>
      <c r="E4" s="15" t="s">
        <v>39</v>
      </c>
      <c r="F4" s="18" t="s">
        <v>40</v>
      </c>
      <c r="G4" s="19" t="s">
        <v>42</v>
      </c>
      <c r="H4" s="20">
        <v>46233.0</v>
      </c>
      <c r="I4" s="20"/>
      <c r="J4" s="21">
        <v>0.5</v>
      </c>
      <c r="K4" s="23" t="s">
        <v>44</v>
      </c>
    </row>
    <row r="5" ht="29.25" customHeight="1">
      <c r="A5" s="11"/>
      <c r="B5" s="12">
        <f t="shared" si="1"/>
        <v>4</v>
      </c>
      <c r="C5" s="13" t="s">
        <v>2</v>
      </c>
      <c r="D5" s="14" t="s">
        <v>45</v>
      </c>
      <c r="E5" s="15" t="s">
        <v>39</v>
      </c>
      <c r="F5" s="24" t="s">
        <v>40</v>
      </c>
      <c r="G5" s="19" t="s">
        <v>46</v>
      </c>
      <c r="H5" s="20"/>
      <c r="I5" s="20"/>
      <c r="J5" s="21"/>
      <c r="K5" s="7" t="s">
        <v>47</v>
      </c>
    </row>
    <row r="6" ht="29.25" customHeight="1">
      <c r="A6" s="11"/>
      <c r="B6" s="12">
        <f t="shared" si="1"/>
        <v>5</v>
      </c>
      <c r="C6" s="13" t="s">
        <v>5</v>
      </c>
      <c r="D6" s="14" t="s">
        <v>48</v>
      </c>
      <c r="E6" s="25" t="s">
        <v>49</v>
      </c>
      <c r="F6" s="24" t="s">
        <v>40</v>
      </c>
      <c r="G6" s="13" t="s">
        <v>46</v>
      </c>
      <c r="H6" s="20"/>
      <c r="I6" s="20"/>
      <c r="J6" s="21"/>
      <c r="K6" s="7" t="s">
        <v>50</v>
      </c>
    </row>
    <row r="7" ht="29.25" customHeight="1">
      <c r="A7" s="11" t="s">
        <v>16</v>
      </c>
      <c r="B7" s="12">
        <f t="shared" si="1"/>
        <v>6</v>
      </c>
      <c r="C7" s="13" t="s">
        <v>7</v>
      </c>
      <c r="D7" s="14" t="s">
        <v>51</v>
      </c>
      <c r="E7" s="15" t="s">
        <v>39</v>
      </c>
      <c r="F7" s="24" t="s">
        <v>40</v>
      </c>
      <c r="G7" s="19" t="s">
        <v>28</v>
      </c>
      <c r="H7" s="20">
        <v>46232.0</v>
      </c>
      <c r="I7" s="20">
        <v>46238.0</v>
      </c>
      <c r="J7" s="21">
        <v>1.0</v>
      </c>
      <c r="K7" s="7"/>
    </row>
    <row r="8" ht="29.25" customHeight="1">
      <c r="A8" s="11"/>
      <c r="B8" s="12">
        <f t="shared" si="1"/>
        <v>7</v>
      </c>
      <c r="C8" s="13" t="s">
        <v>7</v>
      </c>
      <c r="D8" s="14" t="s">
        <v>52</v>
      </c>
      <c r="E8" s="15" t="s">
        <v>39</v>
      </c>
      <c r="F8" s="24" t="s">
        <v>40</v>
      </c>
      <c r="G8" s="13" t="s">
        <v>46</v>
      </c>
      <c r="H8" s="20"/>
      <c r="I8" s="20"/>
      <c r="J8" s="21"/>
      <c r="K8" s="7"/>
    </row>
    <row r="9" ht="29.25" customHeight="1">
      <c r="A9" s="11" t="s">
        <v>16</v>
      </c>
      <c r="B9" s="12">
        <f t="shared" si="1"/>
        <v>8</v>
      </c>
      <c r="C9" s="13" t="s">
        <v>7</v>
      </c>
      <c r="D9" s="14" t="s">
        <v>53</v>
      </c>
      <c r="E9" s="15" t="s">
        <v>39</v>
      </c>
      <c r="F9" s="24" t="s">
        <v>40</v>
      </c>
      <c r="G9" s="19" t="s">
        <v>28</v>
      </c>
      <c r="H9" s="20">
        <v>46238.0</v>
      </c>
      <c r="I9" s="20">
        <v>46238.0</v>
      </c>
      <c r="J9" s="21">
        <v>1.0</v>
      </c>
      <c r="K9" s="7"/>
    </row>
    <row r="10" ht="29.25" customHeight="1">
      <c r="A10" s="11" t="s">
        <v>16</v>
      </c>
      <c r="B10" s="12">
        <f t="shared" si="1"/>
        <v>9</v>
      </c>
      <c r="C10" s="13" t="s">
        <v>7</v>
      </c>
      <c r="D10" s="14" t="s">
        <v>54</v>
      </c>
      <c r="E10" s="15" t="s">
        <v>39</v>
      </c>
      <c r="F10" s="24" t="s">
        <v>40</v>
      </c>
      <c r="G10" s="19" t="s">
        <v>28</v>
      </c>
      <c r="H10" s="20">
        <v>46238.0</v>
      </c>
      <c r="I10" s="20">
        <v>46238.0</v>
      </c>
      <c r="J10" s="21">
        <v>1.0</v>
      </c>
      <c r="K10" s="7"/>
    </row>
    <row r="11" ht="29.25" customHeight="1">
      <c r="A11" s="11"/>
      <c r="B11" s="12">
        <f t="shared" si="1"/>
        <v>10</v>
      </c>
      <c r="C11" s="13" t="s">
        <v>7</v>
      </c>
      <c r="D11" s="14" t="s">
        <v>55</v>
      </c>
      <c r="E11" s="25" t="s">
        <v>49</v>
      </c>
      <c r="F11" s="24" t="s">
        <v>40</v>
      </c>
      <c r="G11" s="19" t="s">
        <v>56</v>
      </c>
      <c r="H11" s="20"/>
      <c r="I11" s="20"/>
      <c r="J11" s="21"/>
      <c r="K11" s="7"/>
    </row>
    <row r="12" ht="29.25" customHeight="1">
      <c r="A12" s="11"/>
      <c r="B12" s="12">
        <f t="shared" si="1"/>
        <v>11</v>
      </c>
      <c r="C12" s="13" t="s">
        <v>7</v>
      </c>
      <c r="D12" s="14" t="s">
        <v>57</v>
      </c>
      <c r="E12" s="25" t="s">
        <v>49</v>
      </c>
      <c r="F12" s="24" t="s">
        <v>40</v>
      </c>
      <c r="G12" s="19" t="s">
        <v>56</v>
      </c>
      <c r="H12" s="20"/>
      <c r="I12" s="20"/>
      <c r="J12" s="21"/>
      <c r="K12" s="7"/>
    </row>
    <row r="13" ht="29.25" customHeight="1">
      <c r="A13" s="11"/>
      <c r="B13" s="12">
        <f t="shared" si="1"/>
        <v>12</v>
      </c>
      <c r="C13" s="13" t="s">
        <v>7</v>
      </c>
      <c r="D13" s="14" t="s">
        <v>58</v>
      </c>
      <c r="E13" s="25" t="s">
        <v>49</v>
      </c>
      <c r="F13" s="24" t="s">
        <v>40</v>
      </c>
      <c r="G13" s="19" t="s">
        <v>56</v>
      </c>
      <c r="H13" s="20"/>
      <c r="I13" s="20"/>
      <c r="J13" s="21"/>
      <c r="K13" s="7"/>
    </row>
    <row r="14" ht="29.25" customHeight="1">
      <c r="A14" s="11" t="s">
        <v>16</v>
      </c>
      <c r="B14" s="12">
        <f t="shared" si="1"/>
        <v>13</v>
      </c>
      <c r="C14" s="19" t="s">
        <v>4</v>
      </c>
      <c r="D14" s="14" t="s">
        <v>59</v>
      </c>
      <c r="E14" s="25" t="s">
        <v>39</v>
      </c>
      <c r="F14" s="18" t="s">
        <v>40</v>
      </c>
      <c r="G14" s="19" t="s">
        <v>28</v>
      </c>
      <c r="H14" s="20">
        <v>46238.0</v>
      </c>
      <c r="I14" s="20">
        <v>46238.0</v>
      </c>
      <c r="J14" s="21">
        <v>1.0</v>
      </c>
      <c r="K14" s="7" t="s">
        <v>60</v>
      </c>
    </row>
    <row r="15" ht="29.25" customHeight="1">
      <c r="A15" s="11" t="s">
        <v>16</v>
      </c>
      <c r="B15" s="12">
        <f t="shared" si="1"/>
        <v>14</v>
      </c>
      <c r="C15" s="19" t="s">
        <v>5</v>
      </c>
      <c r="D15" s="14" t="s">
        <v>61</v>
      </c>
      <c r="E15" s="25" t="s">
        <v>39</v>
      </c>
      <c r="F15" s="18" t="s">
        <v>40</v>
      </c>
      <c r="G15" s="19" t="s">
        <v>28</v>
      </c>
      <c r="H15" s="20">
        <v>46238.0</v>
      </c>
      <c r="I15" s="20">
        <v>46238.0</v>
      </c>
      <c r="J15" s="21">
        <v>1.0</v>
      </c>
      <c r="K15" s="7"/>
    </row>
    <row r="16" ht="29.25" customHeight="1">
      <c r="A16" s="11" t="s">
        <v>62</v>
      </c>
      <c r="B16" s="12">
        <f t="shared" si="1"/>
        <v>15</v>
      </c>
      <c r="C16" s="13" t="s">
        <v>2</v>
      </c>
      <c r="D16" s="14" t="s">
        <v>63</v>
      </c>
      <c r="E16" s="25" t="s">
        <v>64</v>
      </c>
      <c r="F16" s="24" t="s">
        <v>40</v>
      </c>
      <c r="G16" s="19" t="s">
        <v>42</v>
      </c>
      <c r="H16" s="20">
        <v>46233.0</v>
      </c>
      <c r="I16" s="20"/>
      <c r="J16" s="21">
        <v>1.0</v>
      </c>
      <c r="K16" s="7" t="s">
        <v>65</v>
      </c>
    </row>
    <row r="17" ht="29.25" customHeight="1">
      <c r="A17" s="11" t="s">
        <v>16</v>
      </c>
      <c r="B17" s="12">
        <f t="shared" si="1"/>
        <v>16</v>
      </c>
      <c r="C17" s="13" t="s">
        <v>6</v>
      </c>
      <c r="D17" s="14" t="s">
        <v>66</v>
      </c>
      <c r="E17" s="15" t="s">
        <v>39</v>
      </c>
      <c r="F17" s="24" t="s">
        <v>40</v>
      </c>
      <c r="G17" s="19" t="s">
        <v>28</v>
      </c>
      <c r="H17" s="20">
        <v>46232.0</v>
      </c>
      <c r="I17" s="20">
        <v>46232.0</v>
      </c>
      <c r="J17" s="21">
        <v>1.0</v>
      </c>
      <c r="K17" s="7"/>
    </row>
    <row r="18" ht="29.25" customHeight="1">
      <c r="A18" s="11" t="s">
        <v>16</v>
      </c>
      <c r="B18" s="12">
        <f t="shared" si="1"/>
        <v>17</v>
      </c>
      <c r="C18" s="13" t="s">
        <v>4</v>
      </c>
      <c r="D18" s="14" t="s">
        <v>67</v>
      </c>
      <c r="E18" s="15" t="s">
        <v>39</v>
      </c>
      <c r="F18" s="24" t="s">
        <v>40</v>
      </c>
      <c r="G18" s="19" t="s">
        <v>28</v>
      </c>
      <c r="H18" s="20">
        <v>46232.0</v>
      </c>
      <c r="I18" s="20">
        <v>46232.0</v>
      </c>
      <c r="J18" s="21">
        <v>1.0</v>
      </c>
      <c r="K18" s="7"/>
    </row>
    <row r="19" ht="29.25" customHeight="1">
      <c r="A19" s="11" t="s">
        <v>16</v>
      </c>
      <c r="B19" s="12">
        <f t="shared" si="1"/>
        <v>18</v>
      </c>
      <c r="C19" s="13" t="s">
        <v>4</v>
      </c>
      <c r="D19" s="14" t="s">
        <v>68</v>
      </c>
      <c r="E19" s="15" t="s">
        <v>39</v>
      </c>
      <c r="F19" s="24" t="s">
        <v>40</v>
      </c>
      <c r="G19" s="19" t="s">
        <v>28</v>
      </c>
      <c r="H19" s="20">
        <v>46232.0</v>
      </c>
      <c r="I19" s="20">
        <v>46232.0</v>
      </c>
      <c r="J19" s="21">
        <v>1.0</v>
      </c>
      <c r="K19" s="7" t="s">
        <v>69</v>
      </c>
    </row>
    <row r="20" ht="29.25" customHeight="1">
      <c r="A20" s="11" t="s">
        <v>16</v>
      </c>
      <c r="B20" s="12">
        <f t="shared" si="1"/>
        <v>19</v>
      </c>
      <c r="C20" s="13" t="s">
        <v>6</v>
      </c>
      <c r="D20" s="14" t="s">
        <v>70</v>
      </c>
      <c r="E20" s="15" t="s">
        <v>39</v>
      </c>
      <c r="F20" s="24" t="s">
        <v>40</v>
      </c>
      <c r="G20" s="19" t="s">
        <v>28</v>
      </c>
      <c r="H20" s="20">
        <v>46232.0</v>
      </c>
      <c r="I20" s="20">
        <v>46232.0</v>
      </c>
      <c r="J20" s="21">
        <v>1.0</v>
      </c>
      <c r="K20" s="7"/>
    </row>
    <row r="21" ht="29.25" customHeight="1">
      <c r="A21" s="11" t="s">
        <v>16</v>
      </c>
      <c r="B21" s="12">
        <f t="shared" si="1"/>
        <v>20</v>
      </c>
      <c r="C21" s="19" t="s">
        <v>7</v>
      </c>
      <c r="D21" s="14" t="s">
        <v>71</v>
      </c>
      <c r="E21" s="25" t="s">
        <v>39</v>
      </c>
      <c r="F21" s="18" t="s">
        <v>40</v>
      </c>
      <c r="G21" s="19" t="s">
        <v>28</v>
      </c>
      <c r="H21" s="20">
        <v>46232.0</v>
      </c>
      <c r="I21" s="20">
        <v>46232.0</v>
      </c>
      <c r="J21" s="21">
        <v>1.0</v>
      </c>
      <c r="K21" s="7"/>
    </row>
    <row r="22" ht="29.25" customHeight="1">
      <c r="A22" s="11" t="s">
        <v>16</v>
      </c>
      <c r="B22" s="12">
        <f t="shared" si="1"/>
        <v>21</v>
      </c>
      <c r="C22" s="19" t="s">
        <v>5</v>
      </c>
      <c r="D22" s="14" t="s">
        <v>72</v>
      </c>
      <c r="E22" s="25" t="s">
        <v>39</v>
      </c>
      <c r="F22" s="18" t="s">
        <v>40</v>
      </c>
      <c r="G22" s="19" t="s">
        <v>28</v>
      </c>
      <c r="H22" s="20">
        <v>46232.0</v>
      </c>
      <c r="I22" s="20">
        <v>46232.0</v>
      </c>
      <c r="J22" s="21">
        <v>1.0</v>
      </c>
      <c r="K22" s="7"/>
    </row>
    <row r="23" ht="29.25" customHeight="1">
      <c r="A23" s="11" t="s">
        <v>16</v>
      </c>
      <c r="B23" s="12">
        <f t="shared" si="1"/>
        <v>22</v>
      </c>
      <c r="C23" s="19" t="s">
        <v>6</v>
      </c>
      <c r="D23" s="14" t="s">
        <v>73</v>
      </c>
      <c r="E23" s="25" t="s">
        <v>39</v>
      </c>
      <c r="F23" s="18" t="s">
        <v>40</v>
      </c>
      <c r="G23" s="19" t="s">
        <v>28</v>
      </c>
      <c r="H23" s="20">
        <v>46238.0</v>
      </c>
      <c r="I23" s="20">
        <v>46238.0</v>
      </c>
      <c r="J23" s="21">
        <v>1.0</v>
      </c>
      <c r="K23" s="7"/>
    </row>
    <row r="24" ht="29.25" customHeight="1">
      <c r="A24" s="11" t="s">
        <v>74</v>
      </c>
      <c r="B24" s="12">
        <f t="shared" si="1"/>
        <v>23</v>
      </c>
      <c r="C24" s="19" t="s">
        <v>5</v>
      </c>
      <c r="D24" s="14" t="s">
        <v>75</v>
      </c>
      <c r="E24" s="25" t="s">
        <v>49</v>
      </c>
      <c r="F24" s="18" t="s">
        <v>76</v>
      </c>
      <c r="G24" s="19" t="s">
        <v>46</v>
      </c>
      <c r="H24" s="20"/>
      <c r="I24" s="20"/>
      <c r="J24" s="21"/>
      <c r="K24" s="7" t="s">
        <v>77</v>
      </c>
    </row>
    <row r="25" ht="29.25" customHeight="1">
      <c r="A25" s="11" t="s">
        <v>74</v>
      </c>
      <c r="B25" s="12" t="str">
        <f t="shared" si="1"/>
        <v/>
      </c>
      <c r="C25" s="13"/>
      <c r="D25" s="14" t="s">
        <v>78</v>
      </c>
      <c r="E25" s="15"/>
      <c r="F25" s="14"/>
      <c r="G25" s="13"/>
      <c r="H25" s="20"/>
      <c r="I25" s="20"/>
      <c r="J25" s="21"/>
      <c r="K25" s="7"/>
    </row>
    <row r="26" ht="29.25" customHeight="1">
      <c r="A26" s="11" t="s">
        <v>74</v>
      </c>
      <c r="B26" s="12" t="str">
        <f t="shared" si="1"/>
        <v/>
      </c>
      <c r="C26" s="13"/>
      <c r="D26" s="14" t="s">
        <v>79</v>
      </c>
      <c r="E26" s="15"/>
      <c r="F26" s="14"/>
      <c r="G26" s="13"/>
      <c r="H26" s="20"/>
      <c r="I26" s="20"/>
      <c r="J26" s="21"/>
      <c r="K26" s="7" t="s">
        <v>80</v>
      </c>
    </row>
    <row r="27" ht="29.25" customHeight="1">
      <c r="A27" s="12"/>
      <c r="B27" s="12" t="str">
        <f t="shared" si="1"/>
        <v/>
      </c>
      <c r="C27" s="13"/>
      <c r="D27" s="14"/>
      <c r="E27" s="15"/>
      <c r="F27" s="14"/>
      <c r="G27" s="13"/>
      <c r="H27" s="20"/>
      <c r="I27" s="20"/>
      <c r="J27" s="21"/>
      <c r="K27" s="7"/>
    </row>
    <row r="28" ht="29.25" customHeight="1">
      <c r="A28" s="12"/>
      <c r="B28" s="12" t="str">
        <f t="shared" si="1"/>
        <v/>
      </c>
      <c r="C28" s="13"/>
      <c r="D28" s="14"/>
      <c r="E28" s="15"/>
      <c r="F28" s="14"/>
      <c r="G28" s="13"/>
      <c r="H28" s="20"/>
      <c r="I28" s="20"/>
      <c r="J28" s="21"/>
      <c r="K28" s="7"/>
    </row>
    <row r="29" ht="29.25" customHeight="1">
      <c r="A29" s="12"/>
      <c r="B29" s="12" t="str">
        <f t="shared" si="1"/>
        <v/>
      </c>
      <c r="C29" s="13"/>
      <c r="D29" s="14"/>
      <c r="E29" s="15"/>
      <c r="F29" s="14"/>
      <c r="G29" s="13"/>
      <c r="H29" s="20"/>
      <c r="I29" s="20"/>
      <c r="J29" s="21"/>
      <c r="K29" s="7"/>
    </row>
    <row r="30" ht="29.25" customHeight="1">
      <c r="A30" s="26"/>
      <c r="B30" s="12" t="str">
        <f t="shared" si="1"/>
        <v/>
      </c>
      <c r="C30" s="13"/>
      <c r="D30" s="14"/>
      <c r="E30" s="27"/>
      <c r="F30" s="28"/>
      <c r="G30" s="22"/>
      <c r="H30" s="16"/>
      <c r="I30" s="16"/>
      <c r="J30" s="29"/>
      <c r="K30" s="7"/>
    </row>
    <row r="31" ht="29.25" customHeight="1">
      <c r="A31" s="26"/>
      <c r="B31" s="12" t="str">
        <f t="shared" si="1"/>
        <v/>
      </c>
      <c r="C31" s="13"/>
      <c r="D31" s="14"/>
      <c r="E31" s="27"/>
      <c r="F31" s="28"/>
      <c r="G31" s="22"/>
      <c r="H31" s="16"/>
      <c r="I31" s="16"/>
      <c r="J31" s="29"/>
      <c r="K31" s="7"/>
    </row>
    <row r="32" ht="29.25" customHeight="1">
      <c r="A32" s="26"/>
      <c r="B32" s="12" t="str">
        <f t="shared" si="1"/>
        <v/>
      </c>
      <c r="C32" s="13"/>
      <c r="D32" s="14"/>
      <c r="E32" s="27"/>
      <c r="F32" s="28"/>
      <c r="G32" s="22"/>
      <c r="H32" s="16"/>
      <c r="I32" s="16"/>
      <c r="J32" s="29"/>
      <c r="K32" s="7"/>
    </row>
    <row r="33" ht="29.25" customHeight="1">
      <c r="A33" s="26"/>
      <c r="B33" s="26" t="str">
        <f t="shared" si="1"/>
        <v/>
      </c>
      <c r="C33" s="13"/>
      <c r="D33" s="14"/>
      <c r="E33" s="27"/>
      <c r="F33" s="28"/>
      <c r="G33" s="22"/>
      <c r="H33" s="16"/>
      <c r="I33" s="16"/>
      <c r="J33" s="29"/>
      <c r="K33" s="7"/>
    </row>
    <row r="34" ht="29.25" customHeight="1">
      <c r="A34" s="26"/>
      <c r="B34" s="26" t="str">
        <f t="shared" si="1"/>
        <v/>
      </c>
      <c r="C34" s="13"/>
      <c r="D34" s="14"/>
      <c r="E34" s="27"/>
      <c r="F34" s="28"/>
      <c r="G34" s="22"/>
      <c r="H34" s="16"/>
      <c r="I34" s="16"/>
      <c r="J34" s="29"/>
      <c r="K34" s="7"/>
    </row>
    <row r="35" ht="29.25" customHeight="1">
      <c r="A35" s="26"/>
      <c r="B35" s="26" t="str">
        <f t="shared" si="1"/>
        <v/>
      </c>
      <c r="C35" s="13"/>
      <c r="D35" s="14"/>
      <c r="E35" s="27"/>
      <c r="F35" s="28"/>
      <c r="G35" s="22"/>
      <c r="H35" s="16"/>
      <c r="I35" s="16"/>
      <c r="J35" s="29"/>
      <c r="K35" s="7"/>
    </row>
    <row r="36" ht="29.25" customHeight="1">
      <c r="A36" s="26"/>
      <c r="B36" s="26" t="str">
        <f t="shared" si="1"/>
        <v/>
      </c>
      <c r="C36" s="13"/>
      <c r="D36" s="14"/>
      <c r="E36" s="27"/>
      <c r="F36" s="28"/>
      <c r="G36" s="22"/>
      <c r="H36" s="16"/>
      <c r="I36" s="16"/>
      <c r="J36" s="29"/>
      <c r="K36" s="7"/>
    </row>
    <row r="37" ht="29.25" customHeight="1">
      <c r="A37" s="26"/>
      <c r="B37" s="26" t="str">
        <f t="shared" si="1"/>
        <v/>
      </c>
      <c r="C37" s="13"/>
      <c r="D37" s="14"/>
      <c r="E37" s="27"/>
      <c r="F37" s="28"/>
      <c r="G37" s="22"/>
      <c r="H37" s="16"/>
      <c r="I37" s="16"/>
      <c r="J37" s="29"/>
      <c r="K37" s="7"/>
    </row>
    <row r="38" ht="29.25" customHeight="1">
      <c r="A38" s="26"/>
      <c r="B38" s="26" t="str">
        <f t="shared" si="1"/>
        <v/>
      </c>
      <c r="C38" s="13"/>
      <c r="D38" s="14"/>
      <c r="E38" s="27"/>
      <c r="F38" s="28"/>
      <c r="G38" s="22"/>
      <c r="H38" s="16"/>
      <c r="I38" s="16"/>
      <c r="J38" s="29"/>
      <c r="K38" s="7"/>
    </row>
    <row r="39" ht="29.25" customHeight="1">
      <c r="A39" s="26"/>
      <c r="B39" s="26" t="str">
        <f t="shared" si="1"/>
        <v/>
      </c>
      <c r="C39" s="13"/>
      <c r="D39" s="14"/>
      <c r="E39" s="27"/>
      <c r="F39" s="28"/>
      <c r="G39" s="22"/>
      <c r="H39" s="16"/>
      <c r="I39" s="16"/>
      <c r="J39" s="29"/>
      <c r="K39" s="7"/>
    </row>
    <row r="40" ht="29.25" customHeight="1">
      <c r="A40" s="26"/>
      <c r="B40" s="26" t="str">
        <f t="shared" si="1"/>
        <v/>
      </c>
      <c r="C40" s="13"/>
      <c r="D40" s="14"/>
      <c r="E40" s="27"/>
      <c r="F40" s="28"/>
      <c r="G40" s="22"/>
      <c r="H40" s="16"/>
      <c r="I40" s="16"/>
      <c r="J40" s="29"/>
      <c r="K40" s="7"/>
    </row>
    <row r="41" ht="29.25" customHeight="1">
      <c r="A41" s="26"/>
      <c r="B41" s="26" t="str">
        <f t="shared" si="1"/>
        <v/>
      </c>
      <c r="C41" s="13"/>
      <c r="D41" s="14"/>
      <c r="E41" s="27"/>
      <c r="F41" s="28"/>
      <c r="G41" s="22"/>
      <c r="H41" s="16"/>
      <c r="I41" s="16"/>
      <c r="J41" s="29"/>
      <c r="K41" s="7"/>
    </row>
    <row r="42" ht="29.25" customHeight="1">
      <c r="A42" s="26"/>
      <c r="B42" s="26" t="str">
        <f t="shared" si="1"/>
        <v/>
      </c>
      <c r="C42" s="13"/>
      <c r="D42" s="14"/>
      <c r="E42" s="27"/>
      <c r="F42" s="28"/>
      <c r="G42" s="22"/>
      <c r="H42" s="16"/>
      <c r="I42" s="16"/>
      <c r="J42" s="29"/>
      <c r="K42" s="7"/>
    </row>
    <row r="43" ht="29.25" customHeight="1">
      <c r="A43" s="26"/>
      <c r="B43" s="26" t="str">
        <f t="shared" si="1"/>
        <v/>
      </c>
      <c r="C43" s="13"/>
      <c r="D43" s="14"/>
      <c r="E43" s="27"/>
      <c r="F43" s="28"/>
      <c r="G43" s="22"/>
      <c r="H43" s="16"/>
      <c r="I43" s="16"/>
      <c r="J43" s="29"/>
      <c r="K43" s="7"/>
    </row>
    <row r="44" ht="29.25" customHeight="1">
      <c r="A44" s="26"/>
      <c r="B44" s="26" t="str">
        <f t="shared" si="1"/>
        <v/>
      </c>
      <c r="C44" s="13"/>
      <c r="D44" s="14"/>
      <c r="E44" s="27"/>
      <c r="F44" s="28"/>
      <c r="G44" s="22"/>
      <c r="H44" s="16"/>
      <c r="I44" s="16"/>
      <c r="J44" s="29"/>
      <c r="K44" s="7"/>
    </row>
    <row r="45" ht="29.25" customHeight="1">
      <c r="A45" s="26"/>
      <c r="B45" s="26" t="str">
        <f t="shared" si="1"/>
        <v/>
      </c>
      <c r="C45" s="13"/>
      <c r="D45" s="14"/>
      <c r="E45" s="27"/>
      <c r="F45" s="28"/>
      <c r="G45" s="22"/>
      <c r="H45" s="16"/>
      <c r="I45" s="16"/>
      <c r="J45" s="29"/>
      <c r="K45" s="7"/>
    </row>
    <row r="46" ht="29.25" customHeight="1">
      <c r="A46" s="26"/>
      <c r="B46" s="26" t="str">
        <f t="shared" si="1"/>
        <v/>
      </c>
      <c r="C46" s="13"/>
      <c r="D46" s="14"/>
      <c r="E46" s="27"/>
      <c r="F46" s="28"/>
      <c r="G46" s="22"/>
      <c r="H46" s="16"/>
      <c r="I46" s="16"/>
      <c r="J46" s="29"/>
      <c r="K46" s="7"/>
    </row>
    <row r="47" ht="29.25" customHeight="1">
      <c r="A47" s="26"/>
      <c r="B47" s="26" t="str">
        <f t="shared" si="1"/>
        <v/>
      </c>
      <c r="C47" s="13"/>
      <c r="D47" s="14"/>
      <c r="E47" s="27"/>
      <c r="F47" s="28"/>
      <c r="G47" s="22"/>
      <c r="H47" s="16"/>
      <c r="I47" s="16"/>
      <c r="J47" s="29"/>
      <c r="K47" s="7"/>
    </row>
    <row r="48" ht="29.25" customHeight="1">
      <c r="A48" s="26"/>
      <c r="B48" s="26" t="str">
        <f t="shared" si="1"/>
        <v/>
      </c>
      <c r="C48" s="13"/>
      <c r="D48" s="14"/>
      <c r="E48" s="27"/>
      <c r="F48" s="28"/>
      <c r="G48" s="22"/>
      <c r="H48" s="16"/>
      <c r="I48" s="16"/>
      <c r="J48" s="29"/>
      <c r="K48" s="7"/>
    </row>
    <row r="49" ht="29.25" customHeight="1">
      <c r="A49" s="26"/>
      <c r="B49" s="26" t="str">
        <f t="shared" si="1"/>
        <v/>
      </c>
      <c r="C49" s="13"/>
      <c r="D49" s="14"/>
      <c r="E49" s="27"/>
      <c r="F49" s="28"/>
      <c r="G49" s="22"/>
      <c r="H49" s="16"/>
      <c r="I49" s="16"/>
      <c r="J49" s="29"/>
      <c r="K49" s="7"/>
    </row>
    <row r="50" ht="29.25" customHeight="1">
      <c r="A50" s="26"/>
      <c r="B50" s="26" t="str">
        <f t="shared" si="1"/>
        <v/>
      </c>
      <c r="C50" s="13"/>
      <c r="D50" s="14"/>
      <c r="E50" s="27"/>
      <c r="F50" s="28"/>
      <c r="G50" s="22"/>
      <c r="H50" s="16"/>
      <c r="I50" s="16"/>
      <c r="J50" s="29"/>
      <c r="K50" s="7"/>
    </row>
    <row r="51" ht="29.25" customHeight="1">
      <c r="A51" s="26"/>
      <c r="B51" s="26" t="str">
        <f t="shared" si="1"/>
        <v/>
      </c>
      <c r="C51" s="13"/>
      <c r="D51" s="14"/>
      <c r="E51" s="27"/>
      <c r="F51" s="28"/>
      <c r="G51" s="22"/>
      <c r="H51" s="16"/>
      <c r="I51" s="16"/>
      <c r="J51" s="29"/>
      <c r="K51" s="7"/>
    </row>
    <row r="52" ht="29.25" customHeight="1">
      <c r="A52" s="26"/>
      <c r="B52" s="26" t="str">
        <f t="shared" si="1"/>
        <v/>
      </c>
      <c r="C52" s="13"/>
      <c r="D52" s="14"/>
      <c r="E52" s="27"/>
      <c r="F52" s="28"/>
      <c r="G52" s="22"/>
      <c r="H52" s="16"/>
      <c r="I52" s="16"/>
      <c r="J52" s="29"/>
      <c r="K52" s="7"/>
    </row>
    <row r="53" ht="29.25" customHeight="1">
      <c r="A53" s="26"/>
      <c r="B53" s="26" t="str">
        <f t="shared" si="1"/>
        <v/>
      </c>
      <c r="C53" s="13"/>
      <c r="D53" s="14"/>
      <c r="E53" s="27"/>
      <c r="F53" s="28"/>
      <c r="G53" s="22"/>
      <c r="H53" s="16"/>
      <c r="I53" s="16"/>
      <c r="J53" s="29"/>
      <c r="K53" s="7"/>
    </row>
    <row r="54" ht="29.25" customHeight="1">
      <c r="A54" s="26"/>
      <c r="B54" s="26" t="str">
        <f t="shared" si="1"/>
        <v/>
      </c>
      <c r="C54" s="13"/>
      <c r="D54" s="14"/>
      <c r="E54" s="27"/>
      <c r="F54" s="28"/>
      <c r="G54" s="22"/>
      <c r="H54" s="16"/>
      <c r="I54" s="16"/>
      <c r="J54" s="29"/>
      <c r="K54" s="7"/>
    </row>
    <row r="55" ht="29.25" customHeight="1">
      <c r="A55" s="26"/>
      <c r="B55" s="26" t="str">
        <f t="shared" si="1"/>
        <v/>
      </c>
      <c r="C55" s="13"/>
      <c r="D55" s="14"/>
      <c r="E55" s="27"/>
      <c r="F55" s="28"/>
      <c r="G55" s="22"/>
      <c r="H55" s="16"/>
      <c r="I55" s="16"/>
      <c r="J55" s="29"/>
      <c r="K55" s="7"/>
    </row>
    <row r="56" ht="29.25" customHeight="1">
      <c r="A56" s="26"/>
      <c r="B56" s="26" t="str">
        <f t="shared" si="1"/>
        <v/>
      </c>
      <c r="C56" s="13"/>
      <c r="D56" s="14"/>
      <c r="E56" s="27"/>
      <c r="F56" s="28"/>
      <c r="G56" s="22"/>
      <c r="H56" s="16"/>
      <c r="I56" s="16"/>
      <c r="J56" s="29"/>
      <c r="K56" s="7"/>
    </row>
    <row r="57" ht="29.25" customHeight="1">
      <c r="A57" s="26"/>
      <c r="B57" s="26" t="str">
        <f t="shared" si="1"/>
        <v/>
      </c>
      <c r="C57" s="13"/>
      <c r="D57" s="14"/>
      <c r="E57" s="27"/>
      <c r="F57" s="28"/>
      <c r="G57" s="22"/>
      <c r="H57" s="16"/>
      <c r="I57" s="16"/>
      <c r="J57" s="29"/>
      <c r="K57" s="7"/>
    </row>
    <row r="58" ht="29.25" customHeight="1">
      <c r="A58" s="26"/>
      <c r="B58" s="26" t="str">
        <f t="shared" si="1"/>
        <v/>
      </c>
      <c r="C58" s="13"/>
      <c r="D58" s="14"/>
      <c r="E58" s="27"/>
      <c r="F58" s="28"/>
      <c r="G58" s="22"/>
      <c r="H58" s="16"/>
      <c r="I58" s="16"/>
      <c r="J58" s="29"/>
      <c r="K58" s="7"/>
    </row>
    <row r="59" ht="29.25" customHeight="1">
      <c r="A59" s="26"/>
      <c r="B59" s="26" t="str">
        <f t="shared" si="1"/>
        <v/>
      </c>
      <c r="C59" s="13"/>
      <c r="D59" s="14"/>
      <c r="E59" s="27"/>
      <c r="F59" s="28"/>
      <c r="G59" s="22"/>
      <c r="H59" s="16"/>
      <c r="I59" s="16"/>
      <c r="J59" s="29"/>
      <c r="K59" s="7"/>
    </row>
    <row r="60" ht="29.25" customHeight="1">
      <c r="A60" s="26"/>
      <c r="B60" s="26" t="str">
        <f t="shared" si="1"/>
        <v/>
      </c>
      <c r="C60" s="13"/>
      <c r="D60" s="14"/>
      <c r="E60" s="27"/>
      <c r="F60" s="28"/>
      <c r="G60" s="22"/>
      <c r="H60" s="16"/>
      <c r="I60" s="16"/>
      <c r="J60" s="29"/>
      <c r="K60" s="7"/>
    </row>
    <row r="61" ht="29.25" customHeight="1">
      <c r="A61" s="26"/>
      <c r="B61" s="26" t="str">
        <f t="shared" si="1"/>
        <v/>
      </c>
      <c r="C61" s="13"/>
      <c r="D61" s="14"/>
      <c r="E61" s="27"/>
      <c r="F61" s="28"/>
      <c r="G61" s="22"/>
      <c r="H61" s="16"/>
      <c r="I61" s="16"/>
      <c r="J61" s="29"/>
      <c r="K61" s="7"/>
    </row>
    <row r="62" ht="29.25" customHeight="1">
      <c r="A62" s="26"/>
      <c r="B62" s="26" t="str">
        <f t="shared" si="1"/>
        <v/>
      </c>
      <c r="C62" s="13"/>
      <c r="D62" s="14"/>
      <c r="E62" s="27"/>
      <c r="F62" s="28"/>
      <c r="G62" s="22"/>
      <c r="H62" s="16"/>
      <c r="I62" s="16"/>
      <c r="J62" s="29"/>
      <c r="K62" s="7"/>
    </row>
    <row r="63" ht="29.25" customHeight="1">
      <c r="A63" s="26"/>
      <c r="B63" s="26" t="str">
        <f t="shared" si="1"/>
        <v/>
      </c>
      <c r="C63" s="13"/>
      <c r="D63" s="14"/>
      <c r="E63" s="27"/>
      <c r="F63" s="28"/>
      <c r="G63" s="22"/>
      <c r="H63" s="16"/>
      <c r="I63" s="16"/>
      <c r="J63" s="29"/>
      <c r="K63" s="7"/>
    </row>
    <row r="64" ht="29.25" customHeight="1">
      <c r="A64" s="26"/>
      <c r="B64" s="26" t="str">
        <f t="shared" si="1"/>
        <v/>
      </c>
      <c r="C64" s="13"/>
      <c r="D64" s="14"/>
      <c r="E64" s="27"/>
      <c r="F64" s="28"/>
      <c r="G64" s="22"/>
      <c r="H64" s="16"/>
      <c r="I64" s="16"/>
      <c r="J64" s="29"/>
      <c r="K64" s="7"/>
    </row>
    <row r="65" ht="29.25" customHeight="1">
      <c r="A65" s="26"/>
      <c r="B65" s="26" t="str">
        <f t="shared" si="1"/>
        <v/>
      </c>
      <c r="C65" s="13"/>
      <c r="D65" s="14"/>
      <c r="E65" s="27"/>
      <c r="F65" s="28"/>
      <c r="G65" s="22"/>
      <c r="H65" s="16"/>
      <c r="I65" s="16"/>
      <c r="J65" s="29"/>
      <c r="K65" s="7"/>
    </row>
    <row r="66" ht="29.25" customHeight="1">
      <c r="A66" s="26"/>
      <c r="B66" s="26" t="str">
        <f t="shared" si="1"/>
        <v/>
      </c>
      <c r="C66" s="13"/>
      <c r="D66" s="14"/>
      <c r="E66" s="27"/>
      <c r="F66" s="28"/>
      <c r="G66" s="22"/>
      <c r="H66" s="16"/>
      <c r="I66" s="16"/>
      <c r="J66" s="29"/>
      <c r="K66" s="7"/>
    </row>
    <row r="67" ht="29.25" customHeight="1">
      <c r="A67" s="26"/>
      <c r="B67" s="26" t="str">
        <f t="shared" si="1"/>
        <v/>
      </c>
      <c r="C67" s="13"/>
      <c r="D67" s="14"/>
      <c r="E67" s="27"/>
      <c r="F67" s="28"/>
      <c r="G67" s="22"/>
      <c r="H67" s="16"/>
      <c r="I67" s="16"/>
      <c r="J67" s="29"/>
      <c r="K67" s="7"/>
    </row>
    <row r="68" ht="29.25" customHeight="1">
      <c r="A68" s="26"/>
      <c r="B68" s="26" t="str">
        <f t="shared" si="1"/>
        <v/>
      </c>
      <c r="C68" s="13"/>
      <c r="D68" s="14"/>
      <c r="E68" s="27"/>
      <c r="F68" s="28"/>
      <c r="G68" s="22"/>
      <c r="H68" s="16"/>
      <c r="I68" s="16"/>
      <c r="J68" s="29"/>
      <c r="K68" s="7"/>
    </row>
  </sheetData>
  <dataValidations>
    <dataValidation type="list" allowBlank="1" sqref="G4:G68">
      <formula1>"Pas commencé,En cours,Bloqué,Terminé,Proposé"</formula1>
    </dataValidation>
    <dataValidation type="list" allowBlank="1" sqref="E4:E68">
      <formula1>"P0,P1,P2,P3"</formula1>
    </dataValidation>
    <dataValidation type="custom" allowBlank="1" showDropDown="1" sqref="H4:I68">
      <formula1>OR(NOT(ISERROR(DATEVALUE(H4))), AND(ISNUMBER(H4), LEFT(CELL("format", H4))="D"))</formula1>
    </dataValidation>
    <dataValidation type="custom" allowBlank="1" showDropDown="1" sqref="J4:J68">
      <formula1>AND(ISNUMBER(J4),(NOT(OR(NOT(ISERROR(DATEVALUE(J4))), AND(ISNUMBER(J4), LEFT(CELL("format", J4))="D")))))</formula1>
    </dataValidation>
    <dataValidation allowBlank="1" showDropDown="1" sqref="D4:D68 K4:K68"/>
    <dataValidation type="list" allowBlank="1" sqref="C4:C68">
      <formula1>#REF!</formula1>
    </dataValidation>
  </dataValidations>
  <hyperlinks>
    <hyperlink r:id="rId1" ref="F4"/>
    <hyperlink r:id="rId2" location="gid=0" ref="K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</hyperlinks>
  <drawing r:id="rId23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4" width="22.63"/>
    <col customWidth="1" min="5" max="5" width="42.13"/>
  </cols>
  <sheetData>
    <row r="1" ht="22.5" customHeight="1">
      <c r="A1" s="6" t="s">
        <v>10</v>
      </c>
      <c r="B1" s="6" t="s">
        <v>14</v>
      </c>
      <c r="C1" s="6" t="s">
        <v>18</v>
      </c>
      <c r="D1" s="6" t="s">
        <v>20</v>
      </c>
      <c r="E1" s="6" t="s">
        <v>22</v>
      </c>
    </row>
    <row r="2" ht="22.5" customHeight="1">
      <c r="A2" s="7" t="s">
        <v>26</v>
      </c>
      <c r="B2" s="8" t="s">
        <v>28</v>
      </c>
      <c r="C2" s="10">
        <v>46231.0</v>
      </c>
      <c r="D2" s="10">
        <v>46231.0</v>
      </c>
      <c r="E2" s="7" t="s">
        <v>35</v>
      </c>
    </row>
    <row r="3" ht="22.5" customHeight="1">
      <c r="A3" s="7" t="s">
        <v>36</v>
      </c>
      <c r="B3" s="8" t="s">
        <v>38</v>
      </c>
      <c r="C3" s="10">
        <v>46388.0</v>
      </c>
      <c r="D3" s="16"/>
      <c r="E3" s="17"/>
    </row>
    <row r="4" ht="22.5" customHeight="1">
      <c r="A4" s="7" t="s">
        <v>41</v>
      </c>
      <c r="B4" s="8" t="s">
        <v>38</v>
      </c>
      <c r="C4" s="10">
        <v>46266.0</v>
      </c>
      <c r="D4" s="16"/>
      <c r="E4" s="7" t="s">
        <v>43</v>
      </c>
    </row>
    <row r="5" ht="22.5" customHeight="1">
      <c r="A5" s="17"/>
      <c r="B5" s="22"/>
      <c r="C5" s="16"/>
      <c r="D5" s="16"/>
      <c r="E5" s="17"/>
    </row>
    <row r="6" ht="22.5" customHeight="1">
      <c r="A6" s="17"/>
      <c r="B6" s="22"/>
      <c r="C6" s="16"/>
      <c r="D6" s="16"/>
      <c r="E6" s="17"/>
    </row>
    <row r="7" ht="22.5" customHeight="1">
      <c r="A7" s="17"/>
      <c r="B7" s="22"/>
      <c r="C7" s="16"/>
      <c r="D7" s="16"/>
      <c r="E7" s="17"/>
    </row>
    <row r="8" ht="22.5" customHeight="1">
      <c r="A8" s="17"/>
      <c r="B8" s="22"/>
      <c r="C8" s="16"/>
      <c r="D8" s="16"/>
      <c r="E8" s="17"/>
    </row>
    <row r="9" ht="22.5" customHeight="1">
      <c r="A9" s="17"/>
      <c r="B9" s="22"/>
      <c r="C9" s="16"/>
      <c r="D9" s="16"/>
      <c r="E9" s="17"/>
    </row>
    <row r="10" ht="22.5" customHeight="1">
      <c r="A10" s="17"/>
      <c r="B10" s="22"/>
      <c r="C10" s="16"/>
      <c r="D10" s="16"/>
      <c r="E10" s="17"/>
    </row>
    <row r="11" ht="22.5" customHeight="1">
      <c r="A11" s="17"/>
      <c r="B11" s="22"/>
      <c r="C11" s="16"/>
      <c r="D11" s="16"/>
      <c r="E11" s="17"/>
    </row>
    <row r="12" ht="22.5" customHeight="1">
      <c r="A12" s="17"/>
      <c r="B12" s="22"/>
      <c r="C12" s="16"/>
      <c r="D12" s="16"/>
      <c r="E12" s="17"/>
    </row>
    <row r="13" ht="22.5" customHeight="1">
      <c r="A13" s="17"/>
      <c r="B13" s="22"/>
      <c r="C13" s="16"/>
      <c r="D13" s="16"/>
      <c r="E13" s="17"/>
    </row>
    <row r="14" ht="22.5" customHeight="1">
      <c r="A14" s="17"/>
      <c r="B14" s="22"/>
      <c r="C14" s="16"/>
      <c r="D14" s="16"/>
      <c r="E14" s="17"/>
    </row>
    <row r="15" ht="22.5" customHeight="1">
      <c r="A15" s="17"/>
      <c r="B15" s="22"/>
      <c r="C15" s="16"/>
      <c r="D15" s="16"/>
      <c r="E15" s="17"/>
    </row>
  </sheetData>
  <dataValidations>
    <dataValidation type="list" allowBlank="1" sqref="B2:B15">
      <formula1>"A venir,En cours,Terminé"</formula1>
    </dataValidation>
    <dataValidation type="custom" allowBlank="1" showDropDown="1" sqref="C2:D15">
      <formula1>OR(NOT(ISERROR(DATEVALUE(C2))), AND(ISNUMBER(C2), LEFT(CELL("format", C2))="D"))</formula1>
    </dataValidation>
    <dataValidation allowBlank="1" showDropDown="1" sqref="A2:A15 E2:E1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2" t="s">
        <v>1</v>
      </c>
      <c r="B1" s="3">
        <f>SUM(B2:B5)</f>
        <v>21</v>
      </c>
    </row>
    <row r="2">
      <c r="A2" s="2" t="s">
        <v>8</v>
      </c>
      <c r="B2" s="3">
        <f>COUNTIF(Tâches_d_un_projet[Etat],"terminé")</f>
        <v>12</v>
      </c>
    </row>
    <row r="3">
      <c r="A3" s="2" t="s">
        <v>9</v>
      </c>
      <c r="B3" s="3">
        <f>COUNTIF(Tâches_d_un_projet[Etat],"En cours")</f>
        <v>2</v>
      </c>
    </row>
    <row r="4">
      <c r="A4" s="2" t="s">
        <v>13</v>
      </c>
      <c r="B4" s="3">
        <f>COUNTIF(Tâches_d_un_projet[Etat],"Pas commencé")</f>
        <v>4</v>
      </c>
    </row>
    <row r="5">
      <c r="A5" s="2" t="s">
        <v>19</v>
      </c>
      <c r="B5" s="3">
        <f>COUNTIF(Tâches_d_un_projet[Etat],"Bloqué")</f>
        <v>3</v>
      </c>
    </row>
    <row r="6">
      <c r="A6" s="2" t="s">
        <v>24</v>
      </c>
      <c r="B6" s="9">
        <f>SUM(Tâches_d_un_projet[Avancement (%)])/$B$1</f>
        <v>0.6428571429</v>
      </c>
    </row>
    <row r="7">
      <c r="A7" s="2" t="s">
        <v>34</v>
      </c>
      <c r="B7" s="3">
        <f>COUNTA(Tâches_liées_à_un_événement[Jalon])</f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</sheetData>
  <drawing r:id="rId1"/>
</worksheet>
</file>